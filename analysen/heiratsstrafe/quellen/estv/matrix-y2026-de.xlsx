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O:\Web\estv\web2015\Dateistruktur-2017\steuerpolitik\steuerpolitische-themen\Individualbesteuerung\2026\de\"/>
    </mc:Choice>
  </mc:AlternateContent>
  <xr:revisionPtr revIDLastSave="0" documentId="13_ncr:1_{FC6C8AC1-9468-4E55-8079-19D2B8FEB7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delname" sheetId="3" r:id="rId1"/>
    <sheet name="final_def_estimate_popvote_2026" sheetId="1" r:id="rId2"/>
    <sheet name="parameters" sheetId="2" r:id="rId3"/>
  </sheets>
  <calcPr calcId="0"/>
</workbook>
</file>

<file path=xl/sharedStrings.xml><?xml version="1.0" encoding="utf-8"?>
<sst xmlns="http://schemas.openxmlformats.org/spreadsheetml/2006/main" count="612" uniqueCount="355">
  <si>
    <t>Unverheiratete</t>
  </si>
  <si>
    <t>Personen in Einverdienerehen</t>
  </si>
  <si>
    <t>Personen in Zweiverdienerehen</t>
  </si>
  <si>
    <t>Rentner</t>
  </si>
  <si>
    <t>Total</t>
  </si>
  <si>
    <t>mit Kindern</t>
  </si>
  <si>
    <t>ohne Kinder</t>
  </si>
  <si>
    <t>unverh.</t>
  </si>
  <si>
    <t>verheiratet</t>
  </si>
  <si>
    <t/>
  </si>
  <si>
    <t xml:space="preserve"> [0, 10%] , [0, 4 200]</t>
  </si>
  <si>
    <t>Anzahl</t>
  </si>
  <si>
    <t>Mehr- (+) / Minderbelast. (-) aggr. [TCHF]</t>
  </si>
  <si>
    <t>Mehr- (+) / Minderbelast. (-) pro Steuerpfl.</t>
  </si>
  <si>
    <t>Mehr- (+) / Minderbelast. (-) rel. zum Eink.</t>
  </si>
  <si>
    <t>Mehr- (+) / Minderbelast. (-) rel. zur Steuerbel.</t>
  </si>
  <si>
    <t>Anteil mit Mehrbelastung</t>
  </si>
  <si>
    <t>Anteil mit Minderbelastung</t>
  </si>
  <si>
    <t>Maximale Mehrbelast. (+) rel. zum Eink.</t>
  </si>
  <si>
    <t>Maximale Minderbelast. (-) rel. zum Eink.</t>
  </si>
  <si>
    <t xml:space="preserve"> (10%, 20%] , (4 200, 15 100]</t>
  </si>
  <si>
    <t xml:space="preserve"> (20%, 30%] , (15 100, 25 000]</t>
  </si>
  <si>
    <t xml:space="preserve"> (30%, 40%] , (25 000, 34 700]</t>
  </si>
  <si>
    <t xml:space="preserve"> (40%, 50%] , (34 700, 43 900]</t>
  </si>
  <si>
    <t xml:space="preserve"> (50%, 60%] , (43 900, 52 600]</t>
  </si>
  <si>
    <t xml:space="preserve"> (60%, 70%] , (52 600, 62 400]</t>
  </si>
  <si>
    <t xml:space="preserve"> (70%, 80%] , (62 400, 75 700]</t>
  </si>
  <si>
    <t xml:space="preserve"> (80%, 90%] , (75 700, 100 700]</t>
  </si>
  <si>
    <t xml:space="preserve"> (90%, 100%] , &gt; 100 700</t>
  </si>
  <si>
    <t>var</t>
  </si>
  <si>
    <t>value</t>
  </si>
  <si>
    <t>add_modelname_sheet1</t>
  </si>
  <si>
    <t>&lt;function&gt;</t>
  </si>
  <si>
    <t>add_shr_columns</t>
  </si>
  <si>
    <t>add_text_sheet1</t>
  </si>
  <si>
    <t>Individualbesteuerung: Geschätzte Auswirkungen bei der direkten Bundessteuer</t>
  </si>
  <si>
    <t>add_toprate</t>
  </si>
  <si>
    <t>FALSE</t>
  </si>
  <si>
    <t>adhocthrs</t>
  </si>
  <si>
    <t>adj_schedule</t>
  </si>
  <si>
    <t>...</t>
  </si>
  <si>
    <t>all_vars</t>
  </si>
  <si>
    <t>alloc_cap</t>
  </si>
  <si>
    <t>5050</t>
  </si>
  <si>
    <t>alloc_cap_list</t>
  </si>
  <si>
    <t>base</t>
  </si>
  <si>
    <t>lab_hhlevel24</t>
  </si>
  <si>
    <t>base_vars</t>
  </si>
  <si>
    <t>BkGrdStyle</t>
  </si>
  <si>
    <t>&lt;environment&gt;</t>
  </si>
  <si>
    <t>calculate_tax_check</t>
  </si>
  <si>
    <t>canname_from_cannum_df</t>
  </si>
  <si>
    <t>cannum_from_canname_df</t>
  </si>
  <si>
    <t>cannum_from_munnum_df</t>
  </si>
  <si>
    <t>cannum_from_munnum_var</t>
  </si>
  <si>
    <t>case_when_string</t>
  </si>
  <si>
    <t>inc_rank == ll[1] ~ paste0('[', scales::comma(ll[1], big.mark = ' '), ', ', scales::comma(ll[2], big.mark = ' '), ']'), inc_rank == ll[2] ~ paste0('(', scales::comma(ll[2], big.mark = ' '), ', ', scales::comma(ll[3], big.mark = ' '), ']'), inc_rank == ll[3] ~ paste0('(', scales::comma(ll[3], big.mark = ' '), ', ', scales::comma(ll[4], big.mark = ' '), ']'), inc_rank == ll[4] ~ paste0('(', scales::comma(ll[4], big.mark = ' '), ', ', scales::comma(ll[5], big.mark = ' '), ']'), inc_rank == ll[5] ~ paste0('(', scales::comma(ll[5], big.mark = ' '), ', ', scales::comma(ll[6], big.mark = ' '), ']'), inc_rank == ll[6] ~ paste0('(', scales::comma(ll[6], big.mark = ' '), ', ', scales::comma(ll[7], big.mark = ' '), ']'), inc_rank == ll[7] ~ paste0('(', scales::comma(ll[7], big.mark = ' '), ', ', scales::comma(ll[8], big.mark = ' '), ']'), inc_rank == ll[8] ~ paste0('(', scales::comma(ll[8], big.mark = ' '), ', ', scales::comma(ll[9], big.mark = ' '), ']'), inc_rank == ll[9] ~ paste0('(', scales::comma(ll[9], big.mark = ' '), ', ', scales::comma(ll[10], big.mark = ' '), ']'), inc_rank == ll[10] ~ paste0('&gt; ', scales::comma(ll[10], big.mark = ' '))</t>
  </si>
  <si>
    <t>ccap</t>
  </si>
  <si>
    <t>grey45</t>
  </si>
  <si>
    <t>clinetext</t>
  </si>
  <si>
    <t>grey10</t>
  </si>
  <si>
    <t>ColTitle1Style</t>
  </si>
  <si>
    <t>ColTitle2Style</t>
  </si>
  <si>
    <t>comb_plot_horiz</t>
  </si>
  <si>
    <t>comb_plot_vertic</t>
  </si>
  <si>
    <t>comp_finimp</t>
  </si>
  <si>
    <t>comp_tax_mtr_alttax</t>
  </si>
  <si>
    <t>comp_taxburden_alttax</t>
  </si>
  <si>
    <t>comp_taxburden_flatrate</t>
  </si>
  <si>
    <t>comp_taxburden_ref</t>
  </si>
  <si>
    <t>comp_taxburden_sq</t>
  </si>
  <si>
    <t>conditions</t>
  </si>
  <si>
    <t>convert_indivlevel</t>
  </si>
  <si>
    <t>corr_mun_num</t>
  </si>
  <si>
    <t>CPI_incr</t>
  </si>
  <si>
    <t>1.00058719906048</t>
  </si>
  <si>
    <t>cred_kids_CHF_yy_data</t>
  </si>
  <si>
    <t>251</t>
  </si>
  <si>
    <t>cred_kids_ref_CHF</t>
  </si>
  <si>
    <t>259</t>
  </si>
  <si>
    <t>cred_kids_ref_new_CHF</t>
  </si>
  <si>
    <t>cred_kids_sq_CHF</t>
  </si>
  <si>
    <t>263</t>
  </si>
  <si>
    <t>cref</t>
  </si>
  <si>
    <t>slateblue</t>
  </si>
  <si>
    <t>crefinclstretch</t>
  </si>
  <si>
    <t>cyan</t>
  </si>
  <si>
    <t>csq</t>
  </si>
  <si>
    <t>sienna3</t>
  </si>
  <si>
    <t>custom_ylabels_perc</t>
  </si>
  <si>
    <t>custom_ylabels_perc_comma</t>
  </si>
  <si>
    <t>custom_ylabels_perc_comma_e</t>
  </si>
  <si>
    <t>d</t>
  </si>
  <si>
    <t>&lt;data.frame&gt;</t>
  </si>
  <si>
    <t>d_analys</t>
  </si>
  <si>
    <t>d_distr</t>
  </si>
  <si>
    <t>d_finimp</t>
  </si>
  <si>
    <t>d_sec_earn</t>
  </si>
  <si>
    <t>d_share</t>
  </si>
  <si>
    <t>d_tax</t>
  </si>
  <si>
    <t>d_tax_sq</t>
  </si>
  <si>
    <t>d_tax_sq_ref</t>
  </si>
  <si>
    <t>d_thresholds</t>
  </si>
  <si>
    <t>d3</t>
  </si>
  <si>
    <t>ded_3a2zero</t>
  </si>
  <si>
    <t>TRUE</t>
  </si>
  <si>
    <t>ded_add_CHF</t>
  </si>
  <si>
    <t>0</t>
  </si>
  <si>
    <t>ded_child_care2zero</t>
  </si>
  <si>
    <t>ded_EE_CHF</t>
  </si>
  <si>
    <t>ded_hh_CHF</t>
  </si>
  <si>
    <t>ded_kids_ref_CHF</t>
  </si>
  <si>
    <t>6700</t>
  </si>
  <si>
    <t>ded_kids_ref_new_CHF</t>
  </si>
  <si>
    <t>12000</t>
  </si>
  <si>
    <t>ded_kids_sq_CHF</t>
  </si>
  <si>
    <t>6800</t>
  </si>
  <si>
    <t>ded_married_sq_CHF</t>
  </si>
  <si>
    <t>2800</t>
  </si>
  <si>
    <t>ded_sav_kids_ref_CHF</t>
  </si>
  <si>
    <t>700</t>
  </si>
  <si>
    <t>ded_sav_kids_sq_CHF</t>
  </si>
  <si>
    <t>ded_sav_ref_CHF</t>
  </si>
  <si>
    <t>1800</t>
  </si>
  <si>
    <t>ded_sav_sq_CHF</t>
  </si>
  <si>
    <t>ded_sec_earn_max_CHF_yy_data</t>
  </si>
  <si>
    <t>13400</t>
  </si>
  <si>
    <t>ded_sec_earn_max_sq_CHF</t>
  </si>
  <si>
    <t>14100</t>
  </si>
  <si>
    <t>ded_sec_earn_min_CHF_yy_data</t>
  </si>
  <si>
    <t>8100</t>
  </si>
  <si>
    <t>ded_sec_earn_min_sq_CHF</t>
  </si>
  <si>
    <t>8600</t>
  </si>
  <si>
    <t>def_labs</t>
  </si>
  <si>
    <t>df_values_globaleinv</t>
  </si>
  <si>
    <t>distr</t>
  </si>
  <si>
    <t>wisier</t>
  </si>
  <si>
    <t>drop_ded_3a</t>
  </si>
  <si>
    <t>drop_ded_flat</t>
  </si>
  <si>
    <t>drop_ded_sav</t>
  </si>
  <si>
    <t>extra_folder</t>
  </si>
  <si>
    <t>final_def_estimate_popvote_2026</t>
  </si>
  <si>
    <t>fct_adj_schedule</t>
  </si>
  <si>
    <t>fct_adj_schedule_testdelete</t>
  </si>
  <si>
    <t>fct_combplots</t>
  </si>
  <si>
    <t>fct_ded_sec_earn</t>
  </si>
  <si>
    <t>fct_find_s_opt</t>
  </si>
  <si>
    <t>fct_integ64</t>
  </si>
  <si>
    <t>fed_alt_tax</t>
  </si>
  <si>
    <t>fed_params</t>
  </si>
  <si>
    <t>fed_pers</t>
  </si>
  <si>
    <t>fed_pers_fast</t>
  </si>
  <si>
    <t>fed_pers_married_tr</t>
  </si>
  <si>
    <t>fed_pers_mtr</t>
  </si>
  <si>
    <t>fed_pers_single_tr</t>
  </si>
  <si>
    <t>filename</t>
  </si>
  <si>
    <t>outputs/final_def_estimate_popvote_2026/tableoutput/schedule_data//schedule_data_D.xlsx</t>
  </si>
  <si>
    <t>filter_capitals</t>
  </si>
  <si>
    <t>fin_imp_kids_ded</t>
  </si>
  <si>
    <t>format_axis</t>
  </si>
  <si>
    <t>GenStyle</t>
  </si>
  <si>
    <t>get_mapping</t>
  </si>
  <si>
    <t>ggplot_sq_ref_schedule</t>
  </si>
  <si>
    <t>inc_breaks</t>
  </si>
  <si>
    <t>inc_tax_zero_m</t>
  </si>
  <si>
    <t>inc_tax_zero_s</t>
  </si>
  <si>
    <t>incr_mtr</t>
  </si>
  <si>
    <t>incrmts_inc_ded_sec_earn</t>
  </si>
  <si>
    <t>indivlevel</t>
  </si>
  <si>
    <t>interval_findstretch</t>
  </si>
  <si>
    <t>j</t>
  </si>
  <si>
    <t>97</t>
  </si>
  <si>
    <t>joint</t>
  </si>
  <si>
    <t>lab_hhlevel24_joint</t>
  </si>
  <si>
    <t>kannrfromknamelongD_df</t>
  </si>
  <si>
    <t>knamefromkannr_df</t>
  </si>
  <si>
    <t>knamelongDfromknameshort_df</t>
  </si>
  <si>
    <t>lab_alttax_high</t>
  </si>
  <si>
    <t>ohne zivilstandsabhängige Abzüge / Verheiratetentarif ausschliesslich für Ehepaare</t>
  </si>
  <si>
    <t>lab_alttax_hsched_ded_civ_nded_searn</t>
  </si>
  <si>
    <t>mit zivilstandsabhängigen Abzügen / Verheiratetentarif ausschliesslich für Ehepaare</t>
  </si>
  <si>
    <t>lab_alttax_low</t>
  </si>
  <si>
    <t>mit zivilstandsabhängigen Abzügen + Einverdienerabzug / Verheiratetentarif für Ehepaare und für Unverheiratete mit Kindern</t>
  </si>
  <si>
    <t>lab_alttax_lsched_ded_civ_nded_searn</t>
  </si>
  <si>
    <t>mit zivilstandsabhängigen Abzügen / Verheiratetentarif für Ehepaare und für Unverheiratete mit Kindern</t>
  </si>
  <si>
    <t>lab_alttax_lsched_nded_civ_nded_searn</t>
  </si>
  <si>
    <t>ohne zivilstandsabhängige Abzüge / Verheiratetentarif für Ehepaare und für Unverheiratete mit Kindern</t>
  </si>
  <si>
    <t>lab_hhlevel11</t>
  </si>
  <si>
    <t>lab_hhlevel11_joint</t>
  </si>
  <si>
    <t>Einverdienerehepaare</t>
  </si>
  <si>
    <t>lab_hhlevel11_use</t>
  </si>
  <si>
    <t>lab_hhlevel12</t>
  </si>
  <si>
    <t>lab_hhlevel12_joint</t>
  </si>
  <si>
    <t>Zweiverdienerehepaare</t>
  </si>
  <si>
    <t>lab_hhlevel12_use</t>
  </si>
  <si>
    <t>lab_hhlevel13</t>
  </si>
  <si>
    <t>lab_hhlevel13_use</t>
  </si>
  <si>
    <t>lab_hhlevel14</t>
  </si>
  <si>
    <t>lab_hhlevel14_use</t>
  </si>
  <si>
    <t>lab_hhlevel21</t>
  </si>
  <si>
    <t>lab_hhlevel21_use</t>
  </si>
  <si>
    <t>lab_hhlevel22</t>
  </si>
  <si>
    <t>lab_hhlevel22_use</t>
  </si>
  <si>
    <t>lab_hhlevel23</t>
  </si>
  <si>
    <t>lab_hhlevel23_joint</t>
  </si>
  <si>
    <t>Ehepaare</t>
  </si>
  <si>
    <t>lab_hhlevel23_use</t>
  </si>
  <si>
    <t>lab_hhlevel24_use</t>
  </si>
  <si>
    <t>lab_maxlessrelinc</t>
  </si>
  <si>
    <t>lab_maxmorerelinc</t>
  </si>
  <si>
    <t>lab_morelesspercap</t>
  </si>
  <si>
    <t>lab_morelessrelbefref</t>
  </si>
  <si>
    <t>lab_morelessrelinc</t>
  </si>
  <si>
    <t>lab_morelessTCHF</t>
  </si>
  <si>
    <t>lab_nbr</t>
  </si>
  <si>
    <t>lab_shrless</t>
  </si>
  <si>
    <t>lab_shrmore</t>
  </si>
  <si>
    <t>lab_splitting_high</t>
  </si>
  <si>
    <t>ohne Zweiverdienerabzug / Splitting ausschliesslich für Ehepaare</t>
  </si>
  <si>
    <t>lab_splitting_hsched_ded_civ</t>
  </si>
  <si>
    <t>mit Zweiverdienerabzug / Splitting ausschliesslich für Ehepaare</t>
  </si>
  <si>
    <t>lab_splitting_low</t>
  </si>
  <si>
    <t>mit Zweiverdienerabzug / Splitting für Ehepaare und für Unverheiratete mit Kindern</t>
  </si>
  <si>
    <t>lab_splitting_lsched_nded_civ</t>
  </si>
  <si>
    <t>ohne Zweiverdienerabzug / Splitting für Ehepaare und für Unverheiratete mit Kindern</t>
  </si>
  <si>
    <t>lab_tit_gen_alttax</t>
  </si>
  <si>
    <t>Alternative Steuerberechnung</t>
  </si>
  <si>
    <t>lab_tit_gen_splitting</t>
  </si>
  <si>
    <t>Splitting mit Faktor</t>
  </si>
  <si>
    <t>language</t>
  </si>
  <si>
    <t>D</t>
  </si>
  <si>
    <t>list_df_env_vars</t>
  </si>
  <si>
    <t>ll</t>
  </si>
  <si>
    <t>load_data</t>
  </si>
  <si>
    <t>load_fed_tax</t>
  </si>
  <si>
    <t>mergers_during_yr</t>
  </si>
  <si>
    <t>mergers_mun_num</t>
  </si>
  <si>
    <t>mytheme</t>
  </si>
  <si>
    <t>mytheme_dataplots</t>
  </si>
  <si>
    <t>name_mapping_asof2017</t>
  </si>
  <si>
    <t>&lt;list&gt;</t>
  </si>
  <si>
    <t>name_mapping_old_new</t>
  </si>
  <si>
    <t>name_mapping_until2016</t>
  </si>
  <si>
    <t>names_bef_taxcalc</t>
  </si>
  <si>
    <t>nbrvec</t>
  </si>
  <si>
    <t>ncol</t>
  </si>
  <si>
    <t>15</t>
  </si>
  <si>
    <t>negStyle</t>
  </si>
  <si>
    <t>no_brks</t>
  </si>
  <si>
    <t>10</t>
  </si>
  <si>
    <t>no_cant</t>
  </si>
  <si>
    <t>no_quants</t>
  </si>
  <si>
    <t>noperincgr</t>
  </si>
  <si>
    <t>9</t>
  </si>
  <si>
    <t>norm_spec_proj</t>
  </si>
  <si>
    <t>1.157668</t>
  </si>
  <si>
    <t>nrow</t>
  </si>
  <si>
    <t>101</t>
  </si>
  <si>
    <t>NumCHFStyle</t>
  </si>
  <si>
    <t>NumPercStyle</t>
  </si>
  <si>
    <t>odbc_getdata_pti</t>
  </si>
  <si>
    <t>order_inc_class_tab</t>
  </si>
  <si>
    <t>output_dir</t>
  </si>
  <si>
    <t>outputs/final_def_estimate_popvote_2026/tableoutput/schedule_data/</t>
  </si>
  <si>
    <t>p</t>
  </si>
  <si>
    <t>parametersheet</t>
  </si>
  <si>
    <t>2</t>
  </si>
  <si>
    <t>pass_over_ded_TF</t>
  </si>
  <si>
    <t>plot_combine</t>
  </si>
  <si>
    <t>posStyle</t>
  </si>
  <si>
    <t>prep_fin_imp</t>
  </si>
  <si>
    <t>prepanalys</t>
  </si>
  <si>
    <t>print_vars_with_NAs</t>
  </si>
  <si>
    <t>projfact</t>
  </si>
  <si>
    <t>1.32705873899751</t>
  </si>
  <si>
    <t>projfact_inc</t>
  </si>
  <si>
    <t>1.09564704730339</t>
  </si>
  <si>
    <t>projfact_pop</t>
  </si>
  <si>
    <t>1.04624993690009</t>
  </si>
  <si>
    <t>projfact_rev</t>
  </si>
  <si>
    <t>1.14632065410594</t>
  </si>
  <si>
    <t>pt</t>
  </si>
  <si>
    <t>read_takesample_save</t>
  </si>
  <si>
    <t>rename_vars_map</t>
  </si>
  <si>
    <t>roundtaxrate</t>
  </si>
  <si>
    <t>RowTitle1Style</t>
  </si>
  <si>
    <t>RowTitle2Style</t>
  </si>
  <si>
    <t>sample_share</t>
  </si>
  <si>
    <t>1</t>
  </si>
  <si>
    <t>saxtittext</t>
  </si>
  <si>
    <t>12.5</t>
  </si>
  <si>
    <t>scaptext</t>
  </si>
  <si>
    <t>7.5</t>
  </si>
  <si>
    <t>sheetname</t>
  </si>
  <si>
    <t>shline</t>
  </si>
  <si>
    <t>shr_shhkids</t>
  </si>
  <si>
    <t>0.64</t>
  </si>
  <si>
    <t>shr_shhnokids</t>
  </si>
  <si>
    <t>0.5</t>
  </si>
  <si>
    <t>slegtext</t>
  </si>
  <si>
    <t>11.5</t>
  </si>
  <si>
    <t>sline</t>
  </si>
  <si>
    <t>1.3</t>
  </si>
  <si>
    <t>spec_cases_use</t>
  </si>
  <si>
    <t>ssubtittext</t>
  </si>
  <si>
    <t>stext</t>
  </si>
  <si>
    <t>4</t>
  </si>
  <si>
    <t>stittext</t>
  </si>
  <si>
    <t>13</t>
  </si>
  <si>
    <t>stretch_dispatch</t>
  </si>
  <si>
    <t>stretch_exog</t>
  </si>
  <si>
    <t>stretch_ref</t>
  </si>
  <si>
    <t>subsample_findstretch</t>
  </si>
  <si>
    <t>0.3</t>
  </si>
  <si>
    <t>system_info</t>
  </si>
  <si>
    <t>tax_calc</t>
  </si>
  <si>
    <t>tax_s_m</t>
  </si>
  <si>
    <t>taxburden_finimp</t>
  </si>
  <si>
    <t>taxburden_finimp_alttax</t>
  </si>
  <si>
    <t>taxflrate</t>
  </si>
  <si>
    <t>themecombbottom</t>
  </si>
  <si>
    <t>themecombleft</t>
  </si>
  <si>
    <t>themecombright</t>
  </si>
  <si>
    <t>themecombtop</t>
  </si>
  <si>
    <t>ThickLine</t>
  </si>
  <si>
    <t>threshold_ref_maxtr_CHF</t>
  </si>
  <si>
    <t>700411.039342337</t>
  </si>
  <si>
    <t>threshold_ref_start_CHF</t>
  </si>
  <si>
    <t>20000</t>
  </si>
  <si>
    <t>threshold1_fam_ref_CHF</t>
  </si>
  <si>
    <t>29300</t>
  </si>
  <si>
    <t>threshold1_single_ref_CHF</t>
  </si>
  <si>
    <t>title_page</t>
  </si>
  <si>
    <t>Tot1Style</t>
  </si>
  <si>
    <t>Tot2Style</t>
  </si>
  <si>
    <t>use_var</t>
  </si>
  <si>
    <t>v</t>
  </si>
  <si>
    <t>-0.6256</t>
  </si>
  <si>
    <t>vs</t>
  </si>
  <si>
    <t>wage_med</t>
  </si>
  <si>
    <t>61092</t>
  </si>
  <si>
    <t>wb</t>
  </si>
  <si>
    <t>y_cut_higher</t>
  </si>
  <si>
    <t>9e+05</t>
  </si>
  <si>
    <t>y_cut_lower</t>
  </si>
  <si>
    <t>3e+05</t>
  </si>
  <si>
    <t>yhline</t>
  </si>
  <si>
    <t>-1e+09</t>
  </si>
  <si>
    <t>yy_data</t>
  </si>
  <si>
    <t>2022</t>
  </si>
  <si>
    <t>yy_law_ref</t>
  </si>
  <si>
    <t>-1</t>
  </si>
  <si>
    <t>yy_law_sq</t>
  </si>
  <si>
    <t>2026</t>
  </si>
  <si>
    <t>Einkommensklasse (Perzentil, Einkommen in Franken)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</si>
</sst>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 %;\–0.00\ %;@"/>
    <numFmt numFmtId="165" formatCode="#\ ###\ ##0;\–#\ ###\ ##0;0;@"/>
  </numFmts>
  <fonts count="6" x14ac:knownFonts="1">
    <font>
      <sz val="11"/>
      <color rgb="FF000000"/>
      <name val="Calibri"/>
      <family val="2"/>
      <scheme val="minor"/>
    </font>
    <font>
      <b/>
      <sz val="9"/>
      <color rgb="FF000000"/>
      <name val="Arial"/>
    </font>
    <font>
      <sz val="9"/>
      <color rgb="FF000000"/>
      <name val="Arial"/>
    </font>
    <font>
      <b/>
      <i/>
      <sz val="9"/>
      <color rgb="FF000000"/>
      <name val="Arial"/>
    </font>
    <font>
      <b/>
      <sz val="20"/>
      <color rgb="FF000000"/>
      <name val="Calibri"/>
    </font>
    <font>
      <b/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8E8FF"/>
      </patternFill>
    </fill>
    <fill>
      <patternFill patternType="solid">
        <fgColor rgb="FFA5A5FF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double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2" fillId="3" borderId="3" xfId="0" applyNumberFormat="1" applyFont="1" applyFill="1" applyBorder="1" applyAlignment="1">
      <alignment horizontal="right" vertical="center"/>
    </xf>
    <xf numFmtId="164" fontId="1" fillId="4" borderId="3" xfId="0" applyNumberFormat="1" applyFont="1" applyFill="1" applyBorder="1" applyAlignment="1">
      <alignment horizontal="right" vertical="center"/>
    </xf>
    <xf numFmtId="164" fontId="1" fillId="5" borderId="3" xfId="0" applyNumberFormat="1" applyFont="1" applyFill="1" applyBorder="1" applyAlignment="1">
      <alignment horizontal="right" vertical="center"/>
    </xf>
    <xf numFmtId="165" fontId="2" fillId="3" borderId="3" xfId="0" applyNumberFormat="1" applyFont="1" applyFill="1" applyBorder="1" applyAlignment="1">
      <alignment horizontal="right" vertical="center"/>
    </xf>
    <xf numFmtId="165" fontId="1" fillId="4" borderId="3" xfId="0" applyNumberFormat="1" applyFont="1" applyFill="1" applyBorder="1" applyAlignment="1">
      <alignment horizontal="right" vertical="center"/>
    </xf>
    <xf numFmtId="165" fontId="1" fillId="5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164" fontId="2" fillId="3" borderId="6" xfId="0" applyNumberFormat="1" applyFont="1" applyFill="1" applyBorder="1" applyAlignment="1">
      <alignment horizontal="right" vertical="center"/>
    </xf>
    <xf numFmtId="164" fontId="1" fillId="4" borderId="6" xfId="0" applyNumberFormat="1" applyFont="1" applyFill="1" applyBorder="1" applyAlignment="1">
      <alignment horizontal="right" vertical="center"/>
    </xf>
    <xf numFmtId="164" fontId="1" fillId="5" borderId="6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</cellXfs>
  <cellStyles count="1">
    <cellStyle name="Standard" xfId="0" builtinId="0"/>
  </cellStyles>
  <dxfs count="22">
    <dxf>
      <font>
        <sz val="11"/>
        <color rgb="FF3A03A1"/>
        <name val="Calibri"/>
      </font>
    </dxf>
    <dxf>
      <font>
        <sz val="11"/>
        <color rgb="FF9C0006"/>
        <name val="Calibri"/>
      </font>
    </dxf>
    <dxf>
      <font>
        <sz val="11"/>
        <color rgb="FF3A03A1"/>
        <name val="Calibri"/>
      </font>
    </dxf>
    <dxf>
      <font>
        <sz val="11"/>
        <color rgb="FF9C0006"/>
        <name val="Calibri"/>
      </font>
    </dxf>
    <dxf>
      <font>
        <sz val="11"/>
        <color rgb="FF3A03A1"/>
        <name val="Calibri"/>
      </font>
    </dxf>
    <dxf>
      <font>
        <sz val="11"/>
        <color rgb="FF9C0006"/>
        <name val="Calibri"/>
      </font>
    </dxf>
    <dxf>
      <font>
        <sz val="11"/>
        <color rgb="FF3A03A1"/>
        <name val="Calibri"/>
      </font>
    </dxf>
    <dxf>
      <font>
        <sz val="11"/>
        <color rgb="FF9C0006"/>
        <name val="Calibri"/>
      </font>
    </dxf>
    <dxf>
      <font>
        <sz val="11"/>
        <color rgb="FF3A03A1"/>
        <name val="Calibri"/>
      </font>
    </dxf>
    <dxf>
      <font>
        <sz val="11"/>
        <color rgb="FF9C0006"/>
        <name val="Calibri"/>
      </font>
    </dxf>
    <dxf>
      <font>
        <sz val="11"/>
        <color rgb="FF3A03A1"/>
        <name val="Calibri"/>
      </font>
    </dxf>
    <dxf>
      <font>
        <sz val="11"/>
        <color rgb="FF9C0006"/>
        <name val="Calibri"/>
      </font>
    </dxf>
    <dxf>
      <font>
        <sz val="11"/>
        <color rgb="FF3A03A1"/>
        <name val="Calibri"/>
      </font>
    </dxf>
    <dxf>
      <font>
        <sz val="11"/>
        <color rgb="FF9C0006"/>
        <name val="Calibri"/>
      </font>
    </dxf>
    <dxf>
      <font>
        <sz val="11"/>
        <color rgb="FF3A03A1"/>
        <name val="Calibri"/>
      </font>
    </dxf>
    <dxf>
      <font>
        <sz val="11"/>
        <color rgb="FF9C0006"/>
        <name val="Calibri"/>
      </font>
    </dxf>
    <dxf>
      <font>
        <sz val="11"/>
        <color rgb="FF3A03A1"/>
        <name val="Calibri"/>
      </font>
    </dxf>
    <dxf>
      <font>
        <sz val="11"/>
        <color rgb="FF9C0006"/>
        <name val="Calibri"/>
      </font>
    </dxf>
    <dxf>
      <font>
        <sz val="11"/>
        <color rgb="FF3A03A1"/>
        <name val="Calibri"/>
      </font>
    </dxf>
    <dxf>
      <font>
        <sz val="11"/>
        <color rgb="FF9C0006"/>
        <name val="Calibri"/>
      </font>
    </dxf>
    <dxf>
      <font>
        <sz val="11"/>
        <color rgb="FF3A03A1"/>
        <name val="Calibri"/>
      </font>
    </dxf>
    <dxf>
      <font>
        <sz val="11"/>
        <color rgb="FF9C0006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K14"/>
  <sheetViews>
    <sheetView showGridLines="0" workbookViewId="0"/>
  </sheetViews>
  <sheetFormatPr baseColWidth="10" defaultRowHeight="15" x14ac:dyDescent="0.25"/>
  <sheetData>
    <row r="5" spans="2:11" x14ac:dyDescent="0.25">
      <c r="B5" s="15" t="s">
        <v>35</v>
      </c>
      <c r="C5" s="15"/>
      <c r="D5" s="15"/>
      <c r="E5" s="15"/>
      <c r="F5" s="15"/>
      <c r="G5" s="15"/>
      <c r="H5" s="15"/>
      <c r="I5" s="15"/>
      <c r="J5" s="15"/>
      <c r="K5" s="15"/>
    </row>
    <row r="6" spans="2:11" x14ac:dyDescent="0.25"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2:11" x14ac:dyDescent="0.25"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2:11" x14ac:dyDescent="0.25"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2:1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2:11" x14ac:dyDescent="0.25"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2:1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2:11" x14ac:dyDescent="0.25"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2:11" x14ac:dyDescent="0.25"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2:11" x14ac:dyDescent="0.25">
      <c r="B14" s="15"/>
      <c r="C14" s="15"/>
      <c r="D14" s="15"/>
      <c r="E14" s="15"/>
      <c r="F14" s="15"/>
      <c r="G14" s="15"/>
      <c r="H14" s="15"/>
      <c r="I14" s="15"/>
      <c r="J14" s="15"/>
      <c r="K14" s="15"/>
    </row>
  </sheetData>
  <mergeCells count="1">
    <mergeCell ref="B5:K14"/>
  </mergeCells>
  <pageMargins left="0.7" right="0.7" top="0.75" bottom="0.75" header="0.3" footer="0.3"/>
  <pageSetup paperSize="9" scale="7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01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B1" sqref="B1"/>
    </sheetView>
  </sheetViews>
  <sheetFormatPr baseColWidth="10" defaultRowHeight="15" x14ac:dyDescent="0.25"/>
  <cols>
    <col min="1" max="1" width="28.7109375" customWidth="1"/>
    <col min="2" max="2" width="39.7109375" customWidth="1"/>
  </cols>
  <sheetData>
    <row r="1" spans="1:15" ht="15" customHeight="1" x14ac:dyDescent="0.25">
      <c r="A1" s="2"/>
      <c r="B1" s="2"/>
      <c r="C1" s="16" t="s">
        <v>0</v>
      </c>
      <c r="D1" s="16"/>
      <c r="E1" s="16"/>
      <c r="F1" s="16" t="s">
        <v>1</v>
      </c>
      <c r="G1" s="16"/>
      <c r="H1" s="16"/>
      <c r="I1" s="16" t="s">
        <v>2</v>
      </c>
      <c r="J1" s="16"/>
      <c r="K1" s="16"/>
      <c r="L1" s="16" t="s">
        <v>3</v>
      </c>
      <c r="M1" s="16"/>
      <c r="N1" s="16"/>
      <c r="O1" s="1" t="s">
        <v>4</v>
      </c>
    </row>
    <row r="2" spans="1:15" ht="24.75" thickBot="1" x14ac:dyDescent="0.3">
      <c r="A2" s="19" t="s">
        <v>354</v>
      </c>
      <c r="B2" s="10"/>
      <c r="C2" s="9" t="s">
        <v>5</v>
      </c>
      <c r="D2" s="9" t="s">
        <v>6</v>
      </c>
      <c r="E2" s="9" t="s">
        <v>4</v>
      </c>
      <c r="F2" s="9" t="s">
        <v>5</v>
      </c>
      <c r="G2" s="9" t="s">
        <v>6</v>
      </c>
      <c r="H2" s="9" t="s">
        <v>4</v>
      </c>
      <c r="I2" s="9" t="s">
        <v>5</v>
      </c>
      <c r="J2" s="9" t="s">
        <v>6</v>
      </c>
      <c r="K2" s="9" t="s">
        <v>4</v>
      </c>
      <c r="L2" s="9" t="s">
        <v>7</v>
      </c>
      <c r="M2" s="9" t="s">
        <v>8</v>
      </c>
      <c r="N2" s="9" t="s">
        <v>4</v>
      </c>
      <c r="O2" s="9" t="s">
        <v>9</v>
      </c>
    </row>
    <row r="3" spans="1:15" ht="15.75" thickTop="1" x14ac:dyDescent="0.25">
      <c r="A3" s="17" t="s">
        <v>10</v>
      </c>
      <c r="B3" s="2" t="s">
        <v>11</v>
      </c>
      <c r="C3" s="6">
        <v>1516</v>
      </c>
      <c r="D3" s="6">
        <v>293250</v>
      </c>
      <c r="E3" s="7">
        <v>294766</v>
      </c>
      <c r="F3" s="6">
        <v>77826</v>
      </c>
      <c r="G3" s="6">
        <v>64796</v>
      </c>
      <c r="H3" s="7">
        <v>142622</v>
      </c>
      <c r="I3" s="6">
        <v>40784</v>
      </c>
      <c r="J3" s="6">
        <v>22957</v>
      </c>
      <c r="K3" s="7">
        <v>63741</v>
      </c>
      <c r="L3" s="6">
        <v>60071</v>
      </c>
      <c r="M3" s="6">
        <v>70037</v>
      </c>
      <c r="N3" s="7">
        <v>130108</v>
      </c>
      <c r="O3" s="8">
        <v>631237</v>
      </c>
    </row>
    <row r="4" spans="1:15" x14ac:dyDescent="0.25">
      <c r="A4" s="17"/>
      <c r="B4" s="2" t="s">
        <v>12</v>
      </c>
      <c r="C4" s="6">
        <v>0</v>
      </c>
      <c r="D4" s="6">
        <v>0</v>
      </c>
      <c r="E4" s="7">
        <v>0</v>
      </c>
      <c r="F4" s="6">
        <v>0</v>
      </c>
      <c r="G4" s="6">
        <v>0</v>
      </c>
      <c r="H4" s="7">
        <v>0</v>
      </c>
      <c r="I4" s="6">
        <v>0</v>
      </c>
      <c r="J4" s="6">
        <v>0</v>
      </c>
      <c r="K4" s="7">
        <v>0</v>
      </c>
      <c r="L4" s="6">
        <v>0</v>
      </c>
      <c r="M4" s="6">
        <v>0</v>
      </c>
      <c r="N4" s="7">
        <v>0</v>
      </c>
      <c r="O4" s="8">
        <v>0</v>
      </c>
    </row>
    <row r="5" spans="1:15" x14ac:dyDescent="0.25">
      <c r="A5" s="17"/>
      <c r="B5" s="2" t="s">
        <v>13</v>
      </c>
      <c r="C5" s="6">
        <v>0</v>
      </c>
      <c r="D5" s="6">
        <v>0</v>
      </c>
      <c r="E5" s="7">
        <v>0</v>
      </c>
      <c r="F5" s="6">
        <v>0</v>
      </c>
      <c r="G5" s="6">
        <v>0</v>
      </c>
      <c r="H5" s="7">
        <v>0</v>
      </c>
      <c r="I5" s="6">
        <v>0</v>
      </c>
      <c r="J5" s="6">
        <v>0</v>
      </c>
      <c r="K5" s="7">
        <v>0</v>
      </c>
      <c r="L5" s="6">
        <v>0</v>
      </c>
      <c r="M5" s="6">
        <v>0</v>
      </c>
      <c r="N5" s="7">
        <v>0</v>
      </c>
      <c r="O5" s="8">
        <v>0</v>
      </c>
    </row>
    <row r="6" spans="1:15" x14ac:dyDescent="0.25">
      <c r="A6" s="17"/>
      <c r="B6" s="2" t="s">
        <v>14</v>
      </c>
      <c r="C6" s="3">
        <v>0</v>
      </c>
      <c r="D6" s="3">
        <v>0</v>
      </c>
      <c r="E6" s="4">
        <v>0</v>
      </c>
      <c r="F6" s="3">
        <v>0</v>
      </c>
      <c r="G6" s="3">
        <v>0</v>
      </c>
      <c r="H6" s="4">
        <v>0</v>
      </c>
      <c r="I6" s="3">
        <v>0</v>
      </c>
      <c r="J6" s="3">
        <v>0</v>
      </c>
      <c r="K6" s="4">
        <v>0</v>
      </c>
      <c r="L6" s="3">
        <v>0</v>
      </c>
      <c r="M6" s="3">
        <v>0</v>
      </c>
      <c r="N6" s="4">
        <v>0</v>
      </c>
      <c r="O6" s="5">
        <v>0</v>
      </c>
    </row>
    <row r="7" spans="1:15" x14ac:dyDescent="0.25">
      <c r="A7" s="17"/>
      <c r="B7" s="2" t="s">
        <v>15</v>
      </c>
      <c r="C7" s="3">
        <v>0</v>
      </c>
      <c r="D7" s="3">
        <v>0</v>
      </c>
      <c r="E7" s="4">
        <v>0</v>
      </c>
      <c r="F7" s="3">
        <v>0</v>
      </c>
      <c r="G7" s="3">
        <v>0</v>
      </c>
      <c r="H7" s="4">
        <v>0</v>
      </c>
      <c r="I7" s="3">
        <v>0</v>
      </c>
      <c r="J7" s="3">
        <v>0</v>
      </c>
      <c r="K7" s="4">
        <v>0</v>
      </c>
      <c r="L7" s="3">
        <v>0</v>
      </c>
      <c r="M7" s="3">
        <v>0</v>
      </c>
      <c r="N7" s="4">
        <v>0</v>
      </c>
      <c r="O7" s="5">
        <v>0</v>
      </c>
    </row>
    <row r="8" spans="1:15" x14ac:dyDescent="0.25">
      <c r="A8" s="17"/>
      <c r="B8" s="2" t="s">
        <v>16</v>
      </c>
      <c r="C8" s="3">
        <v>0</v>
      </c>
      <c r="D8" s="3">
        <v>0</v>
      </c>
      <c r="E8" s="4">
        <v>0</v>
      </c>
      <c r="F8" s="3">
        <v>0</v>
      </c>
      <c r="G8" s="3">
        <v>0</v>
      </c>
      <c r="H8" s="4">
        <v>0</v>
      </c>
      <c r="I8" s="3">
        <v>0</v>
      </c>
      <c r="J8" s="3">
        <v>0</v>
      </c>
      <c r="K8" s="4">
        <v>0</v>
      </c>
      <c r="L8" s="3">
        <v>0</v>
      </c>
      <c r="M8" s="3">
        <v>0</v>
      </c>
      <c r="N8" s="4">
        <v>0</v>
      </c>
      <c r="O8" s="5">
        <v>0</v>
      </c>
    </row>
    <row r="9" spans="1:15" x14ac:dyDescent="0.25">
      <c r="A9" s="17"/>
      <c r="B9" s="2" t="s">
        <v>17</v>
      </c>
      <c r="C9" s="3">
        <v>0</v>
      </c>
      <c r="D9" s="3">
        <v>0</v>
      </c>
      <c r="E9" s="4">
        <v>0</v>
      </c>
      <c r="F9" s="3">
        <v>0</v>
      </c>
      <c r="G9" s="3">
        <v>0</v>
      </c>
      <c r="H9" s="4">
        <v>0</v>
      </c>
      <c r="I9" s="3">
        <v>0</v>
      </c>
      <c r="J9" s="3">
        <v>0</v>
      </c>
      <c r="K9" s="4">
        <v>0</v>
      </c>
      <c r="L9" s="3">
        <v>0</v>
      </c>
      <c r="M9" s="3">
        <v>0</v>
      </c>
      <c r="N9" s="4">
        <v>0</v>
      </c>
      <c r="O9" s="5">
        <v>0</v>
      </c>
    </row>
    <row r="10" spans="1:15" x14ac:dyDescent="0.25">
      <c r="A10" s="17"/>
      <c r="B10" s="2" t="s">
        <v>18</v>
      </c>
      <c r="C10" s="3">
        <v>0</v>
      </c>
      <c r="D10" s="3">
        <v>0</v>
      </c>
      <c r="E10" s="4">
        <v>0</v>
      </c>
      <c r="F10" s="3">
        <v>0</v>
      </c>
      <c r="G10" s="3">
        <v>0</v>
      </c>
      <c r="H10" s="4">
        <v>0</v>
      </c>
      <c r="I10" s="3">
        <v>0</v>
      </c>
      <c r="J10" s="3">
        <v>0</v>
      </c>
      <c r="K10" s="4">
        <v>0</v>
      </c>
      <c r="L10" s="3">
        <v>0</v>
      </c>
      <c r="M10" s="3">
        <v>0</v>
      </c>
      <c r="N10" s="4">
        <v>0</v>
      </c>
      <c r="O10" s="5">
        <v>0</v>
      </c>
    </row>
    <row r="11" spans="1:15" x14ac:dyDescent="0.25">
      <c r="A11" s="18"/>
      <c r="B11" s="11" t="s">
        <v>19</v>
      </c>
      <c r="C11" s="12">
        <v>0</v>
      </c>
      <c r="D11" s="12">
        <v>0</v>
      </c>
      <c r="E11" s="13">
        <v>0</v>
      </c>
      <c r="F11" s="12">
        <v>0</v>
      </c>
      <c r="G11" s="12">
        <v>0</v>
      </c>
      <c r="H11" s="13">
        <v>0</v>
      </c>
      <c r="I11" s="12">
        <v>0</v>
      </c>
      <c r="J11" s="12">
        <v>0</v>
      </c>
      <c r="K11" s="13">
        <v>0</v>
      </c>
      <c r="L11" s="12">
        <v>0</v>
      </c>
      <c r="M11" s="12">
        <v>0</v>
      </c>
      <c r="N11" s="13">
        <v>0</v>
      </c>
      <c r="O11" s="14">
        <v>0</v>
      </c>
    </row>
    <row r="12" spans="1:15" x14ac:dyDescent="0.25">
      <c r="A12" s="17" t="s">
        <v>20</v>
      </c>
      <c r="B12" s="2" t="s">
        <v>11</v>
      </c>
      <c r="C12" s="6">
        <v>18719</v>
      </c>
      <c r="D12" s="6">
        <v>218551</v>
      </c>
      <c r="E12" s="7">
        <v>237270</v>
      </c>
      <c r="F12" s="6">
        <v>29724</v>
      </c>
      <c r="G12" s="6">
        <v>47920</v>
      </c>
      <c r="H12" s="7">
        <v>77644</v>
      </c>
      <c r="I12" s="6">
        <v>79435</v>
      </c>
      <c r="J12" s="6">
        <v>40058</v>
      </c>
      <c r="K12" s="7">
        <v>119493</v>
      </c>
      <c r="L12" s="6">
        <v>55999</v>
      </c>
      <c r="M12" s="6">
        <v>136570</v>
      </c>
      <c r="N12" s="7">
        <v>192569</v>
      </c>
      <c r="O12" s="8">
        <v>626976</v>
      </c>
    </row>
    <row r="13" spans="1:15" x14ac:dyDescent="0.25">
      <c r="A13" s="17"/>
      <c r="B13" s="2" t="s">
        <v>12</v>
      </c>
      <c r="C13" s="6">
        <v>0</v>
      </c>
      <c r="D13" s="6">
        <v>0</v>
      </c>
      <c r="E13" s="7">
        <v>0</v>
      </c>
      <c r="F13" s="6">
        <v>0</v>
      </c>
      <c r="G13" s="6">
        <v>-8.8912935512833205E-2</v>
      </c>
      <c r="H13" s="7">
        <v>-8.8912935512833205E-2</v>
      </c>
      <c r="I13" s="6">
        <v>0</v>
      </c>
      <c r="J13" s="6">
        <v>-0.12806116831326</v>
      </c>
      <c r="K13" s="7">
        <v>-0.12806116831326</v>
      </c>
      <c r="L13" s="6">
        <v>0</v>
      </c>
      <c r="M13" s="6">
        <v>-5.3545426706873602</v>
      </c>
      <c r="N13" s="7">
        <v>-5.3545426706873602</v>
      </c>
      <c r="O13" s="8">
        <v>-5.5715167745134497</v>
      </c>
    </row>
    <row r="14" spans="1:15" x14ac:dyDescent="0.25">
      <c r="A14" s="17"/>
      <c r="B14" s="2" t="s">
        <v>13</v>
      </c>
      <c r="C14" s="6">
        <v>0</v>
      </c>
      <c r="D14" s="6">
        <v>0</v>
      </c>
      <c r="E14" s="7">
        <v>0</v>
      </c>
      <c r="F14" s="6">
        <v>0</v>
      </c>
      <c r="G14" s="6">
        <v>-1.39816360601002E-3</v>
      </c>
      <c r="H14" s="7">
        <v>-8.6291278141260104E-4</v>
      </c>
      <c r="I14" s="6">
        <v>0</v>
      </c>
      <c r="J14" s="6">
        <v>-2.40900693993709E-3</v>
      </c>
      <c r="K14" s="7">
        <v>-8.0757868661762602E-4</v>
      </c>
      <c r="L14" s="6">
        <v>0</v>
      </c>
      <c r="M14" s="6">
        <v>-2.9544519294134899E-2</v>
      </c>
      <c r="N14" s="7">
        <v>-2.0952983086582E-2</v>
      </c>
      <c r="O14" s="8">
        <v>-6.6962611009033796E-3</v>
      </c>
    </row>
    <row r="15" spans="1:15" x14ac:dyDescent="0.25">
      <c r="A15" s="17"/>
      <c r="B15" s="2" t="s">
        <v>14</v>
      </c>
      <c r="C15" s="3">
        <v>0</v>
      </c>
      <c r="D15" s="3">
        <v>0</v>
      </c>
      <c r="E15" s="4">
        <v>0</v>
      </c>
      <c r="F15" s="3">
        <v>0</v>
      </c>
      <c r="G15" s="3">
        <v>-1.59417860034464E-7</v>
      </c>
      <c r="H15" s="4">
        <v>-1.0040136073334801E-7</v>
      </c>
      <c r="I15" s="3">
        <v>0</v>
      </c>
      <c r="J15" s="3">
        <v>-2.4581540444823E-7</v>
      </c>
      <c r="K15" s="4">
        <v>-8.22346763879519E-8</v>
      </c>
      <c r="L15" s="3">
        <v>0</v>
      </c>
      <c r="M15" s="3">
        <v>-2.8661603293028001E-6</v>
      </c>
      <c r="N15" s="4">
        <v>-2.0014017963675299E-6</v>
      </c>
      <c r="O15" s="5">
        <v>-6.9161769180226904E-7</v>
      </c>
    </row>
    <row r="16" spans="1:15" x14ac:dyDescent="0.25">
      <c r="A16" s="17"/>
      <c r="B16" s="2" t="s">
        <v>15</v>
      </c>
      <c r="C16" s="3">
        <v>0</v>
      </c>
      <c r="D16" s="3">
        <v>0</v>
      </c>
      <c r="E16" s="4">
        <v>0</v>
      </c>
      <c r="F16" s="3">
        <v>0</v>
      </c>
      <c r="G16" s="3">
        <v>-1</v>
      </c>
      <c r="H16" s="4">
        <v>-1</v>
      </c>
      <c r="I16" s="3">
        <v>0</v>
      </c>
      <c r="J16" s="3">
        <v>-1</v>
      </c>
      <c r="K16" s="4">
        <v>-1</v>
      </c>
      <c r="L16" s="3">
        <v>0</v>
      </c>
      <c r="M16" s="3">
        <v>-1</v>
      </c>
      <c r="N16" s="4">
        <v>-1</v>
      </c>
      <c r="O16" s="5">
        <v>-1</v>
      </c>
    </row>
    <row r="17" spans="1:15" x14ac:dyDescent="0.25">
      <c r="A17" s="17"/>
      <c r="B17" s="2" t="s">
        <v>16</v>
      </c>
      <c r="C17" s="3">
        <v>0</v>
      </c>
      <c r="D17" s="3">
        <v>0</v>
      </c>
      <c r="E17" s="4">
        <v>0</v>
      </c>
      <c r="F17" s="3">
        <v>0</v>
      </c>
      <c r="G17" s="3">
        <v>0</v>
      </c>
      <c r="H17" s="4">
        <v>0</v>
      </c>
      <c r="I17" s="3">
        <v>0</v>
      </c>
      <c r="J17" s="3">
        <v>0</v>
      </c>
      <c r="K17" s="4">
        <v>0</v>
      </c>
      <c r="L17" s="3">
        <v>0</v>
      </c>
      <c r="M17" s="3">
        <v>0</v>
      </c>
      <c r="N17" s="4">
        <v>0</v>
      </c>
      <c r="O17" s="5">
        <v>0</v>
      </c>
    </row>
    <row r="18" spans="1:15" x14ac:dyDescent="0.25">
      <c r="A18" s="17"/>
      <c r="B18" s="2" t="s">
        <v>17</v>
      </c>
      <c r="C18" s="3">
        <v>0</v>
      </c>
      <c r="D18" s="3">
        <v>0</v>
      </c>
      <c r="E18" s="4">
        <v>0</v>
      </c>
      <c r="F18" s="3">
        <v>0</v>
      </c>
      <c r="G18" s="3">
        <v>8.3472454090150304E-5</v>
      </c>
      <c r="H18" s="4">
        <v>5.1517180979856801E-5</v>
      </c>
      <c r="I18" s="3">
        <v>0</v>
      </c>
      <c r="J18" s="3">
        <v>1.49782814918368E-4</v>
      </c>
      <c r="K18" s="4">
        <v>5.0212146318194397E-5</v>
      </c>
      <c r="L18" s="3">
        <v>0</v>
      </c>
      <c r="M18" s="3">
        <v>1.7866295672548901E-3</v>
      </c>
      <c r="N18" s="4">
        <v>1.26707829401409E-3</v>
      </c>
      <c r="O18" s="5">
        <v>4.0511917521563801E-4</v>
      </c>
    </row>
    <row r="19" spans="1:15" x14ac:dyDescent="0.25">
      <c r="A19" s="17"/>
      <c r="B19" s="2" t="s">
        <v>18</v>
      </c>
      <c r="C19" s="3">
        <v>0</v>
      </c>
      <c r="D19" s="3">
        <v>0</v>
      </c>
      <c r="E19" s="4">
        <v>0</v>
      </c>
      <c r="F19" s="3">
        <v>0</v>
      </c>
      <c r="G19" s="3">
        <v>0</v>
      </c>
      <c r="H19" s="4">
        <v>0</v>
      </c>
      <c r="I19" s="3">
        <v>0</v>
      </c>
      <c r="J19" s="3">
        <v>0</v>
      </c>
      <c r="K19" s="4">
        <v>0</v>
      </c>
      <c r="L19" s="3">
        <v>0</v>
      </c>
      <c r="M19" s="3">
        <v>0</v>
      </c>
      <c r="N19" s="4">
        <v>0</v>
      </c>
      <c r="O19" s="5">
        <v>0</v>
      </c>
    </row>
    <row r="20" spans="1:15" x14ac:dyDescent="0.25">
      <c r="A20" s="18"/>
      <c r="B20" s="11" t="s">
        <v>19</v>
      </c>
      <c r="C20" s="12">
        <v>0</v>
      </c>
      <c r="D20" s="12">
        <v>0</v>
      </c>
      <c r="E20" s="13">
        <v>0</v>
      </c>
      <c r="F20" s="12">
        <v>0</v>
      </c>
      <c r="G20" s="12">
        <v>-1.3887873693443501E-3</v>
      </c>
      <c r="H20" s="13">
        <v>-1.3887873693443501E-3</v>
      </c>
      <c r="I20" s="12">
        <v>0</v>
      </c>
      <c r="J20" s="12">
        <v>-1.38489400234367E-3</v>
      </c>
      <c r="K20" s="13">
        <v>-1.38489400234367E-3</v>
      </c>
      <c r="L20" s="12">
        <v>0</v>
      </c>
      <c r="M20" s="12">
        <v>-1.8473781440955001E-3</v>
      </c>
      <c r="N20" s="13">
        <v>-1.8473781440955001E-3</v>
      </c>
      <c r="O20" s="14">
        <v>-1.8473781440955001E-3</v>
      </c>
    </row>
    <row r="21" spans="1:15" x14ac:dyDescent="0.25">
      <c r="A21" s="17" t="s">
        <v>21</v>
      </c>
      <c r="B21" s="2" t="s">
        <v>11</v>
      </c>
      <c r="C21" s="6">
        <v>19407</v>
      </c>
      <c r="D21" s="6">
        <v>150508</v>
      </c>
      <c r="E21" s="7">
        <v>169915</v>
      </c>
      <c r="F21" s="6">
        <v>12336</v>
      </c>
      <c r="G21" s="6">
        <v>18788</v>
      </c>
      <c r="H21" s="7">
        <v>31124</v>
      </c>
      <c r="I21" s="6">
        <v>92118</v>
      </c>
      <c r="J21" s="6">
        <v>45868</v>
      </c>
      <c r="K21" s="7">
        <v>137986</v>
      </c>
      <c r="L21" s="6">
        <v>148292</v>
      </c>
      <c r="M21" s="6">
        <v>144443</v>
      </c>
      <c r="N21" s="7">
        <v>292735</v>
      </c>
      <c r="O21" s="8">
        <v>631760</v>
      </c>
    </row>
    <row r="22" spans="1:15" x14ac:dyDescent="0.25">
      <c r="A22" s="17"/>
      <c r="B22" s="2" t="s">
        <v>12</v>
      </c>
      <c r="C22" s="6">
        <v>-22.740282544885599</v>
      </c>
      <c r="D22" s="6">
        <v>-4636.37427403939</v>
      </c>
      <c r="E22" s="7">
        <v>-4659.1145565842799</v>
      </c>
      <c r="F22" s="6">
        <v>-0.17384469480867401</v>
      </c>
      <c r="G22" s="6">
        <v>-113.560334910962</v>
      </c>
      <c r="H22" s="7">
        <v>-113.73417960577</v>
      </c>
      <c r="I22" s="6">
        <v>-0.164555283635691</v>
      </c>
      <c r="J22" s="6">
        <v>-17.033282742900798</v>
      </c>
      <c r="K22" s="7">
        <v>-17.197838026536399</v>
      </c>
      <c r="L22" s="6">
        <v>-4576.3117300761196</v>
      </c>
      <c r="M22" s="6">
        <v>-611.16823541710096</v>
      </c>
      <c r="N22" s="7">
        <v>-5187.4799654932203</v>
      </c>
      <c r="O22" s="8">
        <v>-9977.5265397097992</v>
      </c>
    </row>
    <row r="23" spans="1:15" x14ac:dyDescent="0.25">
      <c r="A23" s="17"/>
      <c r="B23" s="2" t="s">
        <v>13</v>
      </c>
      <c r="C23" s="6">
        <v>-0.88297275725253799</v>
      </c>
      <c r="D23" s="6">
        <v>-23.2128655725942</v>
      </c>
      <c r="E23" s="7">
        <v>-20.662436064502799</v>
      </c>
      <c r="F23" s="6">
        <v>-1.0619325551232199E-2</v>
      </c>
      <c r="G23" s="6">
        <v>-4.5546600413665299</v>
      </c>
      <c r="H23" s="7">
        <v>-2.7536291240584299</v>
      </c>
      <c r="I23" s="6">
        <v>-1.3460995679454601E-3</v>
      </c>
      <c r="J23" s="6">
        <v>-0.27983266300308901</v>
      </c>
      <c r="K23" s="7">
        <v>-9.3917966943209197E-2</v>
      </c>
      <c r="L23" s="6">
        <v>-23.2545388355407</v>
      </c>
      <c r="M23" s="6">
        <v>-3.1884097474090098</v>
      </c>
      <c r="N23" s="7">
        <v>-13.3533931444651</v>
      </c>
      <c r="O23" s="8">
        <v>-11.900922317792901</v>
      </c>
    </row>
    <row r="24" spans="1:15" x14ac:dyDescent="0.25">
      <c r="A24" s="17"/>
      <c r="B24" s="2" t="s">
        <v>14</v>
      </c>
      <c r="C24" s="3">
        <v>-4.3479420438033802E-5</v>
      </c>
      <c r="D24" s="3">
        <v>-1.14714440276606E-3</v>
      </c>
      <c r="E24" s="4">
        <v>-1.02068847418907E-3</v>
      </c>
      <c r="F24" s="3">
        <v>-5.3397993765633402E-7</v>
      </c>
      <c r="G24" s="3">
        <v>-2.3051711117849901E-4</v>
      </c>
      <c r="H24" s="4">
        <v>-1.3900584720417399E-4</v>
      </c>
      <c r="I24" s="3">
        <v>-6.6341419795281096E-8</v>
      </c>
      <c r="J24" s="3">
        <v>-1.38047913672781E-5</v>
      </c>
      <c r="K24" s="4">
        <v>-4.6301718581156E-6</v>
      </c>
      <c r="L24" s="3">
        <v>-1.1308146504852099E-3</v>
      </c>
      <c r="M24" s="3">
        <v>-1.6082026310476901E-4</v>
      </c>
      <c r="N24" s="4">
        <v>-6.61058364828699E-4</v>
      </c>
      <c r="O24" s="5">
        <v>-5.8883890377037695E-4</v>
      </c>
    </row>
    <row r="25" spans="1:15" x14ac:dyDescent="0.25">
      <c r="A25" s="17"/>
      <c r="B25" s="2" t="s">
        <v>15</v>
      </c>
      <c r="C25" s="3">
        <v>-0.98435790339449203</v>
      </c>
      <c r="D25" s="3">
        <v>-0.96258379137954697</v>
      </c>
      <c r="E25" s="4">
        <v>-0.96268772721780205</v>
      </c>
      <c r="F25" s="3">
        <v>-1</v>
      </c>
      <c r="G25" s="3">
        <v>-0.84056172891462799</v>
      </c>
      <c r="H25" s="4">
        <v>-0.84076662727531104</v>
      </c>
      <c r="I25" s="3">
        <v>-1</v>
      </c>
      <c r="J25" s="3">
        <v>-0.83154021262808697</v>
      </c>
      <c r="K25" s="4">
        <v>-0.83288272432824095</v>
      </c>
      <c r="L25" s="3">
        <v>-0.95999828445014002</v>
      </c>
      <c r="M25" s="3">
        <v>-0.95992845137702298</v>
      </c>
      <c r="N25" s="4">
        <v>-0.95999005646749602</v>
      </c>
      <c r="O25" s="5">
        <v>-0.95944227363838697</v>
      </c>
    </row>
    <row r="26" spans="1:15" x14ac:dyDescent="0.25">
      <c r="A26" s="17"/>
      <c r="B26" s="2" t="s">
        <v>16</v>
      </c>
      <c r="C26" s="3">
        <v>4.1222239398155301E-4</v>
      </c>
      <c r="D26" s="3">
        <v>0</v>
      </c>
      <c r="E26" s="4">
        <v>4.7082364711767698E-5</v>
      </c>
      <c r="F26" s="3">
        <v>0</v>
      </c>
      <c r="G26" s="3">
        <v>9.1015541835214007E-3</v>
      </c>
      <c r="H26" s="4">
        <v>5.4941524225677902E-3</v>
      </c>
      <c r="I26" s="3">
        <v>0</v>
      </c>
      <c r="J26" s="3">
        <v>1.0028778233190901E-3</v>
      </c>
      <c r="K26" s="4">
        <v>3.3336715318945401E-4</v>
      </c>
      <c r="L26" s="3">
        <v>0</v>
      </c>
      <c r="M26" s="3">
        <v>1.38462923090769E-3</v>
      </c>
      <c r="N26" s="4">
        <v>6.8321177857106296E-4</v>
      </c>
      <c r="O26" s="5">
        <v>6.7272381917183699E-4</v>
      </c>
    </row>
    <row r="27" spans="1:15" x14ac:dyDescent="0.25">
      <c r="A27" s="17"/>
      <c r="B27" s="2" t="s">
        <v>17</v>
      </c>
      <c r="C27" s="3">
        <v>2.9061678775699502E-2</v>
      </c>
      <c r="D27" s="3">
        <v>0.53250325564089596</v>
      </c>
      <c r="E27" s="4">
        <v>0.475002206985846</v>
      </c>
      <c r="F27" s="3">
        <v>4.05317769130999E-4</v>
      </c>
      <c r="G27" s="3">
        <v>0.13215882478177601</v>
      </c>
      <c r="H27" s="4">
        <v>7.9938311271044907E-2</v>
      </c>
      <c r="I27" s="3">
        <v>7.5989491738856699E-5</v>
      </c>
      <c r="J27" s="3">
        <v>1.1642103427226E-2</v>
      </c>
      <c r="K27" s="4">
        <v>3.9206876059890098E-3</v>
      </c>
      <c r="L27" s="3">
        <v>0.55566045369945805</v>
      </c>
      <c r="M27" s="3">
        <v>0.103334879502641</v>
      </c>
      <c r="N27" s="4">
        <v>0.33247134780603599</v>
      </c>
      <c r="O27" s="5">
        <v>0.286604090160821</v>
      </c>
    </row>
    <row r="28" spans="1:15" x14ac:dyDescent="0.25">
      <c r="A28" s="17"/>
      <c r="B28" s="2" t="s">
        <v>18</v>
      </c>
      <c r="C28" s="3">
        <v>1.4E-3</v>
      </c>
      <c r="D28" s="3">
        <v>0</v>
      </c>
      <c r="E28" s="4">
        <v>1.4E-3</v>
      </c>
      <c r="F28" s="3">
        <v>0</v>
      </c>
      <c r="G28" s="3">
        <v>1.4071050000000001E-3</v>
      </c>
      <c r="H28" s="4">
        <v>1.4071050000000001E-3</v>
      </c>
      <c r="I28" s="3">
        <v>0</v>
      </c>
      <c r="J28" s="3">
        <v>1.3768072289156599E-3</v>
      </c>
      <c r="K28" s="4">
        <v>1.3768072289156599E-3</v>
      </c>
      <c r="L28" s="3">
        <v>0</v>
      </c>
      <c r="M28" s="3">
        <v>1.4090999999999999E-3</v>
      </c>
      <c r="N28" s="4">
        <v>1.4090999999999999E-3</v>
      </c>
      <c r="O28" s="5">
        <v>1.4090999999999999E-3</v>
      </c>
    </row>
    <row r="29" spans="1:15" x14ac:dyDescent="0.25">
      <c r="A29" s="18"/>
      <c r="B29" s="11" t="s">
        <v>19</v>
      </c>
      <c r="C29" s="12">
        <v>-1.9750933039206901E-3</v>
      </c>
      <c r="D29" s="12">
        <v>-2.7269907224285301E-3</v>
      </c>
      <c r="E29" s="13">
        <v>-2.7269907224285301E-3</v>
      </c>
      <c r="F29" s="12">
        <v>-1.5934441156385201E-3</v>
      </c>
      <c r="G29" s="12">
        <v>-4.6966556664520299E-3</v>
      </c>
      <c r="H29" s="13">
        <v>-4.6966556664520299E-3</v>
      </c>
      <c r="I29" s="12">
        <v>-1.2031625988312099E-3</v>
      </c>
      <c r="J29" s="12">
        <v>-4.3104932688262498E-3</v>
      </c>
      <c r="K29" s="13">
        <v>-4.3104932688262498E-3</v>
      </c>
      <c r="L29" s="12">
        <v>-2.7269907224285301E-3</v>
      </c>
      <c r="M29" s="12">
        <v>-4.6710129180248701E-3</v>
      </c>
      <c r="N29" s="13">
        <v>-4.6710129180248701E-3</v>
      </c>
      <c r="O29" s="14">
        <v>-4.6966556664520299E-3</v>
      </c>
    </row>
    <row r="30" spans="1:15" x14ac:dyDescent="0.25">
      <c r="A30" s="17" t="s">
        <v>22</v>
      </c>
      <c r="B30" s="2" t="s">
        <v>11</v>
      </c>
      <c r="C30" s="6">
        <v>24391</v>
      </c>
      <c r="D30" s="6">
        <v>168140</v>
      </c>
      <c r="E30" s="7">
        <v>192531</v>
      </c>
      <c r="F30" s="6">
        <v>12507</v>
      </c>
      <c r="G30" s="6">
        <v>16561</v>
      </c>
      <c r="H30" s="7">
        <v>29068</v>
      </c>
      <c r="I30" s="6">
        <v>98486</v>
      </c>
      <c r="J30" s="6">
        <v>52759</v>
      </c>
      <c r="K30" s="7">
        <v>151245</v>
      </c>
      <c r="L30" s="6">
        <v>140799</v>
      </c>
      <c r="M30" s="6">
        <v>107735</v>
      </c>
      <c r="N30" s="7">
        <v>248534</v>
      </c>
      <c r="O30" s="8">
        <v>621378</v>
      </c>
    </row>
    <row r="31" spans="1:15" x14ac:dyDescent="0.25">
      <c r="A31" s="17"/>
      <c r="B31" s="2" t="s">
        <v>12</v>
      </c>
      <c r="C31" s="6">
        <v>-594.594704930744</v>
      </c>
      <c r="D31" s="6">
        <v>-9700.3525096390895</v>
      </c>
      <c r="E31" s="7">
        <v>-10294.9472145698</v>
      </c>
      <c r="F31" s="6">
        <v>-13.798053426964399</v>
      </c>
      <c r="G31" s="6">
        <v>-437.059601137389</v>
      </c>
      <c r="H31" s="7">
        <v>-450.85765456435303</v>
      </c>
      <c r="I31" s="6">
        <v>-32.256206321792497</v>
      </c>
      <c r="J31" s="6">
        <v>-845.56268734091702</v>
      </c>
      <c r="K31" s="7">
        <v>-877.81889366271002</v>
      </c>
      <c r="L31" s="6">
        <v>-8075.0394615882196</v>
      </c>
      <c r="M31" s="6">
        <v>-5141.7923206652704</v>
      </c>
      <c r="N31" s="7">
        <v>-13216.831782253499</v>
      </c>
      <c r="O31" s="8">
        <v>-24840.455545050401</v>
      </c>
    </row>
    <row r="32" spans="1:15" x14ac:dyDescent="0.25">
      <c r="A32" s="17"/>
      <c r="B32" s="2" t="s">
        <v>13</v>
      </c>
      <c r="C32" s="6">
        <v>-18.369667053421299</v>
      </c>
      <c r="D32" s="6">
        <v>-43.4736723028429</v>
      </c>
      <c r="E32" s="7">
        <v>-40.293343981488697</v>
      </c>
      <c r="F32" s="6">
        <v>-0.83133205404973198</v>
      </c>
      <c r="G32" s="6">
        <v>-19.886756752217899</v>
      </c>
      <c r="H32" s="7">
        <v>-11.6878370914229</v>
      </c>
      <c r="I32" s="6">
        <v>-0.24680198200759501</v>
      </c>
      <c r="J32" s="6">
        <v>-12.0770011815709</v>
      </c>
      <c r="K32" s="7">
        <v>-4.3735465327019103</v>
      </c>
      <c r="L32" s="6">
        <v>-43.217031907186801</v>
      </c>
      <c r="M32" s="6">
        <v>-35.963965223985802</v>
      </c>
      <c r="N32" s="7">
        <v>-40.072958504293602</v>
      </c>
      <c r="O32" s="8">
        <v>-30.124062282408001</v>
      </c>
    </row>
    <row r="33" spans="1:15" x14ac:dyDescent="0.25">
      <c r="A33" s="17"/>
      <c r="B33" s="2" t="s">
        <v>14</v>
      </c>
      <c r="C33" s="3">
        <v>-6.0919991696548005E-4</v>
      </c>
      <c r="D33" s="3">
        <v>-1.4513874314930101E-3</v>
      </c>
      <c r="E33" s="4">
        <v>-1.3440705734222699E-3</v>
      </c>
      <c r="F33" s="3">
        <v>-2.7761002719810899E-5</v>
      </c>
      <c r="G33" s="3">
        <v>-6.6605293789469104E-4</v>
      </c>
      <c r="H33" s="4">
        <v>-3.9095424891138998E-4</v>
      </c>
      <c r="I33" s="3">
        <v>-8.2551658522591095E-6</v>
      </c>
      <c r="J33" s="3">
        <v>-4.0326722795240198E-4</v>
      </c>
      <c r="K33" s="4">
        <v>-1.4620137835841E-4</v>
      </c>
      <c r="L33" s="3">
        <v>-1.46589321312228E-3</v>
      </c>
      <c r="M33" s="3">
        <v>-1.2120397465138399E-3</v>
      </c>
      <c r="N33" s="4">
        <v>-1.3554504998763699E-3</v>
      </c>
      <c r="O33" s="5">
        <v>-1.01109782113036E-3</v>
      </c>
    </row>
    <row r="34" spans="1:15" x14ac:dyDescent="0.25">
      <c r="A34" s="17"/>
      <c r="B34" s="2" t="s">
        <v>15</v>
      </c>
      <c r="C34" s="3">
        <v>-0.86701003891510797</v>
      </c>
      <c r="D34" s="3">
        <v>-0.42738244907246398</v>
      </c>
      <c r="E34" s="4">
        <v>-0.440276311930904</v>
      </c>
      <c r="F34" s="3">
        <v>-1</v>
      </c>
      <c r="G34" s="3">
        <v>-0.25856813678252899</v>
      </c>
      <c r="H34" s="4">
        <v>-0.26457147256608898</v>
      </c>
      <c r="I34" s="3">
        <v>-1</v>
      </c>
      <c r="J34" s="3">
        <v>-0.17521267419693101</v>
      </c>
      <c r="K34" s="4">
        <v>-0.180688906107314</v>
      </c>
      <c r="L34" s="3">
        <v>-0.46880399640527398</v>
      </c>
      <c r="M34" s="3">
        <v>-0.43336062681173299</v>
      </c>
      <c r="N34" s="4">
        <v>-0.45434757059706998</v>
      </c>
      <c r="O34" s="5">
        <v>-0.42077576580500903</v>
      </c>
    </row>
    <row r="35" spans="1:15" x14ac:dyDescent="0.25">
      <c r="A35" s="17"/>
      <c r="B35" s="2" t="s">
        <v>16</v>
      </c>
      <c r="C35" s="3">
        <v>7.3387724980525596E-3</v>
      </c>
      <c r="D35" s="3">
        <v>0</v>
      </c>
      <c r="E35" s="4">
        <v>9.2972040866146197E-4</v>
      </c>
      <c r="F35" s="3">
        <v>0</v>
      </c>
      <c r="G35" s="3">
        <v>0.317855201980557</v>
      </c>
      <c r="H35" s="4">
        <v>0.18109261043071401</v>
      </c>
      <c r="I35" s="3">
        <v>0</v>
      </c>
      <c r="J35" s="3">
        <v>0.271479747531227</v>
      </c>
      <c r="K35" s="4">
        <v>9.4700651261198698E-2</v>
      </c>
      <c r="L35" s="3">
        <v>1.02983685963679E-3</v>
      </c>
      <c r="M35" s="3">
        <v>0.13282591544066499</v>
      </c>
      <c r="N35" s="4">
        <v>5.8161056434934501E-2</v>
      </c>
      <c r="O35" s="5">
        <v>5.50727576451049E-2</v>
      </c>
    </row>
    <row r="36" spans="1:15" x14ac:dyDescent="0.25">
      <c r="A36" s="17"/>
      <c r="B36" s="2" t="s">
        <v>17</v>
      </c>
      <c r="C36" s="3">
        <v>0.329793776392932</v>
      </c>
      <c r="D36" s="3">
        <v>0.99998810515046999</v>
      </c>
      <c r="E36" s="4">
        <v>0.91508380468599904</v>
      </c>
      <c r="F36" s="3">
        <v>2.1348045094746901E-2</v>
      </c>
      <c r="G36" s="3">
        <v>0.63915222510717995</v>
      </c>
      <c r="H36" s="4">
        <v>0.373331498555112</v>
      </c>
      <c r="I36" s="3">
        <v>5.8993156387709897E-3</v>
      </c>
      <c r="J36" s="3">
        <v>0.69681002293447603</v>
      </c>
      <c r="K36" s="4">
        <v>0.24691064167410501</v>
      </c>
      <c r="L36" s="3">
        <v>0.98196720147160099</v>
      </c>
      <c r="M36" s="3">
        <v>0.73870144335638399</v>
      </c>
      <c r="N36" s="4">
        <v>0.87651588917411705</v>
      </c>
      <c r="O36" s="5">
        <v>0.71167952518434796</v>
      </c>
    </row>
    <row r="37" spans="1:15" x14ac:dyDescent="0.25">
      <c r="A37" s="17"/>
      <c r="B37" s="2" t="s">
        <v>18</v>
      </c>
      <c r="C37" s="3">
        <v>2.5374999999999998E-3</v>
      </c>
      <c r="D37" s="3">
        <v>0</v>
      </c>
      <c r="E37" s="4">
        <v>2.5374999999999998E-3</v>
      </c>
      <c r="F37" s="3">
        <v>0</v>
      </c>
      <c r="G37" s="3">
        <v>2.8880147058823499E-3</v>
      </c>
      <c r="H37" s="4">
        <v>2.8880147058823499E-3</v>
      </c>
      <c r="I37" s="3">
        <v>0</v>
      </c>
      <c r="J37" s="3">
        <v>2.9141081871345001E-3</v>
      </c>
      <c r="K37" s="4">
        <v>2.9141081871345001E-3</v>
      </c>
      <c r="L37" s="3">
        <v>2.4277456647398801E-3</v>
      </c>
      <c r="M37" s="3">
        <v>2.8880147058823499E-3</v>
      </c>
      <c r="N37" s="4">
        <v>2.8880147058823499E-3</v>
      </c>
      <c r="O37" s="5">
        <v>2.9141081871345001E-3</v>
      </c>
    </row>
    <row r="38" spans="1:15" x14ac:dyDescent="0.25">
      <c r="A38" s="18"/>
      <c r="B38" s="11" t="s">
        <v>19</v>
      </c>
      <c r="C38" s="12">
        <v>-2.85320234824026E-3</v>
      </c>
      <c r="D38" s="12">
        <v>-2.5573008840438899E-3</v>
      </c>
      <c r="E38" s="13">
        <v>-2.85320234824026E-3</v>
      </c>
      <c r="F38" s="12">
        <v>-5.0251256281407001E-3</v>
      </c>
      <c r="G38" s="12">
        <v>-5.7554793325969404E-3</v>
      </c>
      <c r="H38" s="13">
        <v>-5.7554793325969404E-3</v>
      </c>
      <c r="I38" s="12">
        <v>-4.7341218710639501E-3</v>
      </c>
      <c r="J38" s="12">
        <v>-4.6129795512124504E-3</v>
      </c>
      <c r="K38" s="13">
        <v>-4.7341218710639501E-3</v>
      </c>
      <c r="L38" s="12">
        <v>-2.8365949399730699E-3</v>
      </c>
      <c r="M38" s="12">
        <v>-5.6116722783389403E-3</v>
      </c>
      <c r="N38" s="13">
        <v>-5.6116722783389403E-3</v>
      </c>
      <c r="O38" s="14">
        <v>-5.7554793325969404E-3</v>
      </c>
    </row>
    <row r="39" spans="1:15" x14ac:dyDescent="0.25">
      <c r="A39" s="17" t="s">
        <v>23</v>
      </c>
      <c r="B39" s="2" t="s">
        <v>11</v>
      </c>
      <c r="C39" s="6">
        <v>32662</v>
      </c>
      <c r="D39" s="6">
        <v>219885</v>
      </c>
      <c r="E39" s="7">
        <v>252547</v>
      </c>
      <c r="F39" s="6">
        <v>11724</v>
      </c>
      <c r="G39" s="6">
        <v>17435</v>
      </c>
      <c r="H39" s="7">
        <v>29159</v>
      </c>
      <c r="I39" s="6">
        <v>87967</v>
      </c>
      <c r="J39" s="6">
        <v>54812</v>
      </c>
      <c r="K39" s="7">
        <v>142779</v>
      </c>
      <c r="L39" s="6">
        <v>110230</v>
      </c>
      <c r="M39" s="6">
        <v>89814</v>
      </c>
      <c r="N39" s="7">
        <v>200044</v>
      </c>
      <c r="O39" s="8">
        <v>624529</v>
      </c>
    </row>
    <row r="40" spans="1:15" x14ac:dyDescent="0.25">
      <c r="A40" s="17"/>
      <c r="B40" s="2" t="s">
        <v>12</v>
      </c>
      <c r="C40" s="6">
        <v>-1024.2825492176</v>
      </c>
      <c r="D40" s="6">
        <v>-13803.246196132</v>
      </c>
      <c r="E40" s="7">
        <v>-14827.5287453496</v>
      </c>
      <c r="F40" s="6">
        <v>-310.426396367422</v>
      </c>
      <c r="G40" s="6">
        <v>-1413.9286411540199</v>
      </c>
      <c r="H40" s="7">
        <v>-1724.35503752145</v>
      </c>
      <c r="I40" s="6">
        <v>-452.37260680798698</v>
      </c>
      <c r="J40" s="6">
        <v>-4138.0547522073202</v>
      </c>
      <c r="K40" s="7">
        <v>-4590.4273590152998</v>
      </c>
      <c r="L40" s="6">
        <v>-6787.4081503691104</v>
      </c>
      <c r="M40" s="6">
        <v>-11722.0608115743</v>
      </c>
      <c r="N40" s="7">
        <v>-18509.468961943399</v>
      </c>
      <c r="O40" s="8">
        <v>-39651.780103829798</v>
      </c>
    </row>
    <row r="41" spans="1:15" x14ac:dyDescent="0.25">
      <c r="A41" s="17"/>
      <c r="B41" s="2" t="s">
        <v>13</v>
      </c>
      <c r="C41" s="6">
        <v>-23.6312586093932</v>
      </c>
      <c r="D41" s="6">
        <v>-47.303740551651998</v>
      </c>
      <c r="E41" s="7">
        <v>-44.242169417573699</v>
      </c>
      <c r="F41" s="6">
        <v>-19.952287188672798</v>
      </c>
      <c r="G41" s="6">
        <v>-61.110437630373397</v>
      </c>
      <c r="H41" s="7">
        <v>-44.561922393962703</v>
      </c>
      <c r="I41" s="6">
        <v>-3.87513084452124</v>
      </c>
      <c r="J41" s="6">
        <v>-56.889280008095099</v>
      </c>
      <c r="K41" s="7">
        <v>-24.2269440940454</v>
      </c>
      <c r="L41" s="6">
        <v>-46.3995759938311</v>
      </c>
      <c r="M41" s="6">
        <v>-98.348962999853399</v>
      </c>
      <c r="N41" s="7">
        <v>-69.723355985027496</v>
      </c>
      <c r="O41" s="8">
        <v>-47.843168420454603</v>
      </c>
    </row>
    <row r="42" spans="1:15" x14ac:dyDescent="0.25">
      <c r="A42" s="17"/>
      <c r="B42" s="2" t="s">
        <v>14</v>
      </c>
      <c r="C42" s="3">
        <v>-5.9774068378326897E-4</v>
      </c>
      <c r="D42" s="3">
        <v>-1.1994558197094599E-3</v>
      </c>
      <c r="E42" s="4">
        <v>-1.12146980890817E-3</v>
      </c>
      <c r="F42" s="3">
        <v>-5.0725716138225998E-4</v>
      </c>
      <c r="G42" s="3">
        <v>-1.55531042254839E-3</v>
      </c>
      <c r="H42" s="4">
        <v>-1.1336476840339701E-3</v>
      </c>
      <c r="I42" s="3">
        <v>-9.8610606574960907E-5</v>
      </c>
      <c r="J42" s="3">
        <v>-1.4512200446732701E-3</v>
      </c>
      <c r="K42" s="4">
        <v>-6.1708452255985905E-4</v>
      </c>
      <c r="L42" s="3">
        <v>-1.1878862904544001E-3</v>
      </c>
      <c r="M42" s="3">
        <v>-2.5178231778933001E-3</v>
      </c>
      <c r="N42" s="4">
        <v>-1.78499378897786E-3</v>
      </c>
      <c r="O42" s="5">
        <v>-1.2181445746395E-3</v>
      </c>
    </row>
    <row r="43" spans="1:15" x14ac:dyDescent="0.25">
      <c r="A43" s="17"/>
      <c r="B43" s="2" t="s">
        <v>15</v>
      </c>
      <c r="C43" s="3">
        <v>-0.58422459912851499</v>
      </c>
      <c r="D43" s="3">
        <v>-0.26224303006780297</v>
      </c>
      <c r="E43" s="4">
        <v>-0.27262221907749101</v>
      </c>
      <c r="F43" s="3">
        <v>-1</v>
      </c>
      <c r="G43" s="3">
        <v>-0.31823157693423298</v>
      </c>
      <c r="H43" s="4">
        <v>-0.36275426335254102</v>
      </c>
      <c r="I43" s="3">
        <v>-1</v>
      </c>
      <c r="J43" s="3">
        <v>-0.30483252569706498</v>
      </c>
      <c r="K43" s="4">
        <v>-0.32725141853394801</v>
      </c>
      <c r="L43" s="3">
        <v>-0.27814313759105402</v>
      </c>
      <c r="M43" s="3">
        <v>-0.45420190699424001</v>
      </c>
      <c r="N43" s="4">
        <v>-0.368636590701511</v>
      </c>
      <c r="O43" s="5">
        <v>-0.32137959160039897</v>
      </c>
    </row>
    <row r="44" spans="1:15" x14ac:dyDescent="0.25">
      <c r="A44" s="17"/>
      <c r="B44" s="2" t="s">
        <v>16</v>
      </c>
      <c r="C44" s="3">
        <v>3.58214438797379E-3</v>
      </c>
      <c r="D44" s="3">
        <v>0</v>
      </c>
      <c r="E44" s="4">
        <v>4.6328010231758799E-4</v>
      </c>
      <c r="F44" s="3">
        <v>0</v>
      </c>
      <c r="G44" s="3">
        <v>0.47800401491253203</v>
      </c>
      <c r="H44" s="4">
        <v>0.285812270654</v>
      </c>
      <c r="I44" s="3">
        <v>0</v>
      </c>
      <c r="J44" s="3">
        <v>0.108534627453842</v>
      </c>
      <c r="K44" s="4">
        <v>4.1665791187779702E-2</v>
      </c>
      <c r="L44" s="3">
        <v>1.3245033112582801E-3</v>
      </c>
      <c r="M44" s="3">
        <v>0.14683679604516001</v>
      </c>
      <c r="N44" s="4">
        <v>6.6655335826118295E-2</v>
      </c>
      <c r="O44" s="5">
        <v>4.4407865767642503E-2</v>
      </c>
    </row>
    <row r="45" spans="1:15" x14ac:dyDescent="0.25">
      <c r="A45" s="17"/>
      <c r="B45" s="2" t="s">
        <v>17</v>
      </c>
      <c r="C45" s="3">
        <v>0.315198089522993</v>
      </c>
      <c r="D45" s="3">
        <v>1</v>
      </c>
      <c r="E45" s="4">
        <v>0.911434307277457</v>
      </c>
      <c r="F45" s="3">
        <v>0.15899010576594999</v>
      </c>
      <c r="G45" s="3">
        <v>0.51476914252939499</v>
      </c>
      <c r="H45" s="4">
        <v>0.37172056654892099</v>
      </c>
      <c r="I45" s="3">
        <v>5.69077040253732E-2</v>
      </c>
      <c r="J45" s="3">
        <v>0.888874698971028</v>
      </c>
      <c r="K45" s="4">
        <v>0.37629483327380098</v>
      </c>
      <c r="L45" s="3">
        <v>0.97989657987843604</v>
      </c>
      <c r="M45" s="3">
        <v>0.81600864007838403</v>
      </c>
      <c r="N45" s="4">
        <v>0.906315610565676</v>
      </c>
      <c r="O45" s="5">
        <v>0.76225283373550301</v>
      </c>
    </row>
    <row r="46" spans="1:15" x14ac:dyDescent="0.25">
      <c r="A46" s="17"/>
      <c r="B46" s="2" t="s">
        <v>18</v>
      </c>
      <c r="C46" s="3">
        <v>1.72830275493185E-3</v>
      </c>
      <c r="D46" s="3">
        <v>-1.0611219039925099E-3</v>
      </c>
      <c r="E46" s="4">
        <v>1.72830275493185E-3</v>
      </c>
      <c r="F46" s="3">
        <v>0</v>
      </c>
      <c r="G46" s="3">
        <v>3.0782430730478599E-3</v>
      </c>
      <c r="H46" s="4">
        <v>3.0782430730478599E-3</v>
      </c>
      <c r="I46" s="3">
        <v>0</v>
      </c>
      <c r="J46" s="3">
        <v>4.1608810904872401E-3</v>
      </c>
      <c r="K46" s="4">
        <v>4.1608810904872401E-3</v>
      </c>
      <c r="L46" s="3">
        <v>2.35277777777778E-3</v>
      </c>
      <c r="M46" s="3">
        <v>3.9680961538461502E-3</v>
      </c>
      <c r="N46" s="4">
        <v>3.9680961538461502E-3</v>
      </c>
      <c r="O46" s="5">
        <v>4.1608810904872401E-3</v>
      </c>
    </row>
    <row r="47" spans="1:15" x14ac:dyDescent="0.25">
      <c r="A47" s="18"/>
      <c r="B47" s="11" t="s">
        <v>19</v>
      </c>
      <c r="C47" s="12">
        <v>-2.99617918877186E-3</v>
      </c>
      <c r="D47" s="12">
        <v>-1.39040717170749E-3</v>
      </c>
      <c r="E47" s="13">
        <v>-2.99617918877186E-3</v>
      </c>
      <c r="F47" s="12">
        <v>-7.7752998613706201E-3</v>
      </c>
      <c r="G47" s="12">
        <v>-1.45511044818524E-2</v>
      </c>
      <c r="H47" s="13">
        <v>-1.45511044818524E-2</v>
      </c>
      <c r="I47" s="12">
        <v>-7.0374144018197802E-3</v>
      </c>
      <c r="J47" s="12">
        <v>-7.7536857548078904E-3</v>
      </c>
      <c r="K47" s="13">
        <v>-7.7536857548078904E-3</v>
      </c>
      <c r="L47" s="12">
        <v>-2.9367683682218798E-3</v>
      </c>
      <c r="M47" s="12">
        <v>-1.1866532821229099E-2</v>
      </c>
      <c r="N47" s="13">
        <v>-1.1866532821229099E-2</v>
      </c>
      <c r="O47" s="14">
        <v>-1.45511044818524E-2</v>
      </c>
    </row>
    <row r="48" spans="1:15" x14ac:dyDescent="0.25">
      <c r="A48" s="17" t="s">
        <v>24</v>
      </c>
      <c r="B48" s="2" t="s">
        <v>11</v>
      </c>
      <c r="C48" s="6">
        <v>39349</v>
      </c>
      <c r="D48" s="6">
        <v>265332</v>
      </c>
      <c r="E48" s="7">
        <v>304681</v>
      </c>
      <c r="F48" s="6">
        <v>12950</v>
      </c>
      <c r="G48" s="6">
        <v>17294</v>
      </c>
      <c r="H48" s="7">
        <v>30244</v>
      </c>
      <c r="I48" s="6">
        <v>79583</v>
      </c>
      <c r="J48" s="6">
        <v>51434</v>
      </c>
      <c r="K48" s="7">
        <v>131017</v>
      </c>
      <c r="L48" s="6">
        <v>90146</v>
      </c>
      <c r="M48" s="6">
        <v>74294</v>
      </c>
      <c r="N48" s="7">
        <v>164440</v>
      </c>
      <c r="O48" s="8">
        <v>630382</v>
      </c>
    </row>
    <row r="49" spans="1:15" x14ac:dyDescent="0.25">
      <c r="A49" s="17"/>
      <c r="B49" s="2" t="s">
        <v>12</v>
      </c>
      <c r="C49" s="6">
        <v>-1108.0084443427299</v>
      </c>
      <c r="D49" s="6">
        <v>-27685.674762732699</v>
      </c>
      <c r="E49" s="7">
        <v>-28793.683207075399</v>
      </c>
      <c r="F49" s="6">
        <v>-908.65073186856796</v>
      </c>
      <c r="G49" s="6">
        <v>-2255.9564569181798</v>
      </c>
      <c r="H49" s="7">
        <v>-3164.6071887867502</v>
      </c>
      <c r="I49" s="6">
        <v>-2497.0211631034799</v>
      </c>
      <c r="J49" s="6">
        <v>-9013.1377447118903</v>
      </c>
      <c r="K49" s="7">
        <v>-11510.158907815399</v>
      </c>
      <c r="L49" s="6">
        <v>-8411.6731697055602</v>
      </c>
      <c r="M49" s="6">
        <v>-17784.473166207099</v>
      </c>
      <c r="N49" s="7">
        <v>-26196.146335912701</v>
      </c>
      <c r="O49" s="8">
        <v>-69664.595639590203</v>
      </c>
    </row>
    <row r="50" spans="1:15" x14ac:dyDescent="0.25">
      <c r="A50" s="17"/>
      <c r="B50" s="2" t="s">
        <v>13</v>
      </c>
      <c r="C50" s="6">
        <v>-21.218722061551802</v>
      </c>
      <c r="D50" s="6">
        <v>-78.627657246770099</v>
      </c>
      <c r="E50" s="7">
        <v>-71.213397116984595</v>
      </c>
      <c r="F50" s="6">
        <v>-52.873379014086098</v>
      </c>
      <c r="G50" s="6">
        <v>-98.298097407553001</v>
      </c>
      <c r="H50" s="7">
        <v>-78.847955124938395</v>
      </c>
      <c r="I50" s="6">
        <v>-23.6435002093401</v>
      </c>
      <c r="J50" s="6">
        <v>-132.04913525154299</v>
      </c>
      <c r="K50" s="7">
        <v>-66.200843399617995</v>
      </c>
      <c r="L50" s="6">
        <v>-70.314644125086005</v>
      </c>
      <c r="M50" s="6">
        <v>-180.38362769523599</v>
      </c>
      <c r="N50" s="7">
        <v>-120.043816256932</v>
      </c>
      <c r="O50" s="8">
        <v>-83.275676727406903</v>
      </c>
    </row>
    <row r="51" spans="1:15" x14ac:dyDescent="0.25">
      <c r="A51" s="17"/>
      <c r="B51" s="2" t="s">
        <v>14</v>
      </c>
      <c r="C51" s="3">
        <v>-4.3856419091308901E-4</v>
      </c>
      <c r="D51" s="3">
        <v>-1.63693460283784E-3</v>
      </c>
      <c r="E51" s="4">
        <v>-1.48118950574725E-3</v>
      </c>
      <c r="F51" s="3">
        <v>-1.0936944832840799E-3</v>
      </c>
      <c r="G51" s="3">
        <v>-2.04787099643907E-3</v>
      </c>
      <c r="H51" s="4">
        <v>-1.6376401231935501E-3</v>
      </c>
      <c r="I51" s="3">
        <v>-4.9006681470270097E-4</v>
      </c>
      <c r="J51" s="3">
        <v>-2.7564112012751401E-3</v>
      </c>
      <c r="K51" s="4">
        <v>-1.3759659291885599E-3</v>
      </c>
      <c r="L51" s="3">
        <v>-1.46814962208938E-3</v>
      </c>
      <c r="M51" s="3">
        <v>-3.77509716554013E-3</v>
      </c>
      <c r="N51" s="4">
        <v>-2.5091046089581901E-3</v>
      </c>
      <c r="O51" s="5">
        <v>-1.73391756012269E-3</v>
      </c>
    </row>
    <row r="52" spans="1:15" x14ac:dyDescent="0.25">
      <c r="A52" s="17"/>
      <c r="B52" s="2" t="s">
        <v>15</v>
      </c>
      <c r="C52" s="3">
        <v>-0.42402563019795397</v>
      </c>
      <c r="D52" s="3">
        <v>-0.24988953532418501</v>
      </c>
      <c r="E52" s="4">
        <v>-0.25390197597255598</v>
      </c>
      <c r="F52" s="3">
        <v>-0.84551420028714896</v>
      </c>
      <c r="G52" s="3">
        <v>-0.29533550844338402</v>
      </c>
      <c r="H52" s="4">
        <v>-0.36319294218438303</v>
      </c>
      <c r="I52" s="3">
        <v>-0.75830670129257305</v>
      </c>
      <c r="J52" s="3">
        <v>-0.36220577453409097</v>
      </c>
      <c r="K52" s="4">
        <v>-0.40849604573003301</v>
      </c>
      <c r="L52" s="3">
        <v>-0.246142453909101</v>
      </c>
      <c r="M52" s="3">
        <v>-0.46189638276558898</v>
      </c>
      <c r="N52" s="4">
        <v>-0.36044532740433</v>
      </c>
      <c r="O52" s="5">
        <v>-0.312436373833403</v>
      </c>
    </row>
    <row r="53" spans="1:15" x14ac:dyDescent="0.25">
      <c r="A53" s="17"/>
      <c r="B53" s="2" t="s">
        <v>16</v>
      </c>
      <c r="C53" s="3">
        <v>3.73580014739892E-3</v>
      </c>
      <c r="D53" s="3">
        <v>0</v>
      </c>
      <c r="E53" s="4">
        <v>4.8247183119393703E-4</v>
      </c>
      <c r="F53" s="3">
        <v>0.14501930501930499</v>
      </c>
      <c r="G53" s="3">
        <v>0.56886781542731601</v>
      </c>
      <c r="H53" s="4">
        <v>0.38738262134638302</v>
      </c>
      <c r="I53" s="3">
        <v>4.7547843132327301E-2</v>
      </c>
      <c r="J53" s="3">
        <v>0.120076214177392</v>
      </c>
      <c r="K53" s="4">
        <v>7.6020669073479E-2</v>
      </c>
      <c r="L53" s="3">
        <v>1.3311738734941101E-3</v>
      </c>
      <c r="M53" s="3">
        <v>0.18457748943387101</v>
      </c>
      <c r="N53" s="4">
        <v>8.41218681585989E-2</v>
      </c>
      <c r="O53" s="5">
        <v>5.6562528752407297E-2</v>
      </c>
    </row>
    <row r="54" spans="1:15" x14ac:dyDescent="0.25">
      <c r="A54" s="17"/>
      <c r="B54" s="2" t="s">
        <v>17</v>
      </c>
      <c r="C54" s="3">
        <v>0.24043813057510999</v>
      </c>
      <c r="D54" s="3">
        <v>1</v>
      </c>
      <c r="E54" s="4">
        <v>0.90190395856650096</v>
      </c>
      <c r="F54" s="3">
        <v>0.23374517374517401</v>
      </c>
      <c r="G54" s="3">
        <v>0.42887706719093299</v>
      </c>
      <c r="H54" s="4">
        <v>0.34532469250099201</v>
      </c>
      <c r="I54" s="3">
        <v>0.23231092067401299</v>
      </c>
      <c r="J54" s="3">
        <v>0.87906832056616202</v>
      </c>
      <c r="K54" s="4">
        <v>0.486211712983811</v>
      </c>
      <c r="L54" s="3">
        <v>0.97816874847469704</v>
      </c>
      <c r="M54" s="3">
        <v>0.78612000969122697</v>
      </c>
      <c r="N54" s="4">
        <v>0.89140111894916096</v>
      </c>
      <c r="O54" s="5">
        <v>0.78606464017056299</v>
      </c>
    </row>
    <row r="55" spans="1:15" x14ac:dyDescent="0.25">
      <c r="A55" s="17"/>
      <c r="B55" s="2" t="s">
        <v>18</v>
      </c>
      <c r="C55" s="3">
        <v>2.1567021567021599E-3</v>
      </c>
      <c r="D55" s="3">
        <v>-9.2444500572532102E-4</v>
      </c>
      <c r="E55" s="4">
        <v>2.1567021567021599E-3</v>
      </c>
      <c r="F55" s="3">
        <v>2.6092557251908401E-3</v>
      </c>
      <c r="G55" s="3">
        <v>4.15619047619048E-3</v>
      </c>
      <c r="H55" s="4">
        <v>4.15619047619048E-3</v>
      </c>
      <c r="I55" s="3">
        <v>2.3836311787072302E-3</v>
      </c>
      <c r="J55" s="3">
        <v>5.6768060836501896E-3</v>
      </c>
      <c r="K55" s="4">
        <v>5.6768060836501896E-3</v>
      </c>
      <c r="L55" s="3">
        <v>1.9197943651224E-3</v>
      </c>
      <c r="M55" s="3">
        <v>5.4951644100580304E-3</v>
      </c>
      <c r="N55" s="4">
        <v>5.4951644100580304E-3</v>
      </c>
      <c r="O55" s="5">
        <v>5.6768060836501896E-3</v>
      </c>
    </row>
    <row r="56" spans="1:15" x14ac:dyDescent="0.25">
      <c r="A56" s="18"/>
      <c r="B56" s="11" t="s">
        <v>19</v>
      </c>
      <c r="C56" s="12">
        <v>-2.9509589597359999E-3</v>
      </c>
      <c r="D56" s="12">
        <v>-2.2804299669368301E-3</v>
      </c>
      <c r="E56" s="13">
        <v>-2.9509589597359999E-3</v>
      </c>
      <c r="F56" s="12">
        <v>-1.8834442628831102E-2</v>
      </c>
      <c r="G56" s="12">
        <v>-2.02559576345984E-2</v>
      </c>
      <c r="H56" s="13">
        <v>-2.02559576345984E-2</v>
      </c>
      <c r="I56" s="12">
        <v>-1.7463645553870699E-2</v>
      </c>
      <c r="J56" s="12">
        <v>-1.1286377648573801E-2</v>
      </c>
      <c r="K56" s="13">
        <v>-1.7463645553870699E-2</v>
      </c>
      <c r="L56" s="12">
        <v>-2.8831906937327699E-3</v>
      </c>
      <c r="M56" s="12">
        <v>-1.7341601796986999E-2</v>
      </c>
      <c r="N56" s="13">
        <v>-1.7341601796986999E-2</v>
      </c>
      <c r="O56" s="14">
        <v>-2.02559576345984E-2</v>
      </c>
    </row>
    <row r="57" spans="1:15" x14ac:dyDescent="0.25">
      <c r="A57" s="17" t="s">
        <v>25</v>
      </c>
      <c r="B57" s="2" t="s">
        <v>11</v>
      </c>
      <c r="C57" s="6">
        <v>46809</v>
      </c>
      <c r="D57" s="6">
        <v>264809</v>
      </c>
      <c r="E57" s="7">
        <v>311618</v>
      </c>
      <c r="F57" s="6">
        <v>16142</v>
      </c>
      <c r="G57" s="6">
        <v>18241</v>
      </c>
      <c r="H57" s="7">
        <v>34383</v>
      </c>
      <c r="I57" s="6">
        <v>85780</v>
      </c>
      <c r="J57" s="6">
        <v>51386</v>
      </c>
      <c r="K57" s="7">
        <v>137166</v>
      </c>
      <c r="L57" s="6">
        <v>75332</v>
      </c>
      <c r="M57" s="6">
        <v>70713</v>
      </c>
      <c r="N57" s="7">
        <v>146045</v>
      </c>
      <c r="O57" s="8">
        <v>629212</v>
      </c>
    </row>
    <row r="58" spans="1:15" x14ac:dyDescent="0.25">
      <c r="A58" s="17"/>
      <c r="B58" s="2" t="s">
        <v>12</v>
      </c>
      <c r="C58" s="6">
        <v>-1686.1818916710099</v>
      </c>
      <c r="D58" s="6">
        <v>-48874.685142399299</v>
      </c>
      <c r="E58" s="7">
        <v>-50560.867034070303</v>
      </c>
      <c r="F58" s="6">
        <v>-1170.7587759140999</v>
      </c>
      <c r="G58" s="6">
        <v>-2743.5344090743301</v>
      </c>
      <c r="H58" s="7">
        <v>-3914.2931849884199</v>
      </c>
      <c r="I58" s="6">
        <v>-7577.45960720741</v>
      </c>
      <c r="J58" s="6">
        <v>-15139.2275289877</v>
      </c>
      <c r="K58" s="7">
        <v>-22716.687136195102</v>
      </c>
      <c r="L58" s="6">
        <v>-13047.5629234521</v>
      </c>
      <c r="M58" s="6">
        <v>-25017.997831420002</v>
      </c>
      <c r="N58" s="7">
        <v>-38065.560754872102</v>
      </c>
      <c r="O58" s="8">
        <v>-115257.40811012599</v>
      </c>
    </row>
    <row r="59" spans="1:15" x14ac:dyDescent="0.25">
      <c r="A59" s="17"/>
      <c r="B59" s="2" t="s">
        <v>13</v>
      </c>
      <c r="C59" s="6">
        <v>-27.144691578542599</v>
      </c>
      <c r="D59" s="6">
        <v>-139.07884810977001</v>
      </c>
      <c r="E59" s="7">
        <v>-122.26490946350999</v>
      </c>
      <c r="F59" s="6">
        <v>-54.6537458181649</v>
      </c>
      <c r="G59" s="6">
        <v>-113.336976257736</v>
      </c>
      <c r="H59" s="7">
        <v>-85.786596542308303</v>
      </c>
      <c r="I59" s="6">
        <v>-66.565230744484495</v>
      </c>
      <c r="J59" s="6">
        <v>-222.00806790615499</v>
      </c>
      <c r="K59" s="7">
        <v>-124.798215816511</v>
      </c>
      <c r="L59" s="6">
        <v>-130.514798126958</v>
      </c>
      <c r="M59" s="6">
        <v>-266.60183953153103</v>
      </c>
      <c r="N59" s="7">
        <v>-196.40629019338601</v>
      </c>
      <c r="O59" s="8">
        <v>-138.032611946522</v>
      </c>
    </row>
    <row r="60" spans="1:15" x14ac:dyDescent="0.25">
      <c r="A60" s="17"/>
      <c r="B60" s="2" t="s">
        <v>14</v>
      </c>
      <c r="C60" s="3">
        <v>-4.7245473629139301E-4</v>
      </c>
      <c r="D60" s="3">
        <v>-2.4488595031222199E-3</v>
      </c>
      <c r="E60" s="4">
        <v>-2.1490459293969501E-3</v>
      </c>
      <c r="F60" s="3">
        <v>-9.5075702827156596E-4</v>
      </c>
      <c r="G60" s="3">
        <v>-1.9916019528145299E-3</v>
      </c>
      <c r="H60" s="4">
        <v>-1.5003339392988199E-3</v>
      </c>
      <c r="I60" s="3">
        <v>-1.1602381192683899E-3</v>
      </c>
      <c r="J60" s="3">
        <v>-3.9113512390171303E-3</v>
      </c>
      <c r="K60" s="4">
        <v>-2.18397350637488E-3</v>
      </c>
      <c r="L60" s="3">
        <v>-2.2975961520936201E-3</v>
      </c>
      <c r="M60" s="3">
        <v>-4.6986255215033896E-3</v>
      </c>
      <c r="N60" s="4">
        <v>-3.4594601312037902E-3</v>
      </c>
      <c r="O60" s="5">
        <v>-2.4243824790128698E-3</v>
      </c>
    </row>
    <row r="61" spans="1:15" x14ac:dyDescent="0.25">
      <c r="A61" s="17"/>
      <c r="B61" s="2" t="s">
        <v>15</v>
      </c>
      <c r="C61" s="3">
        <v>-0.361509180151458</v>
      </c>
      <c r="D61" s="3">
        <v>-0.25211553962427502</v>
      </c>
      <c r="E61" s="4">
        <v>-0.25468574179374798</v>
      </c>
      <c r="F61" s="3">
        <v>-0.48380848223329198</v>
      </c>
      <c r="G61" s="3">
        <v>-0.21547737143100701</v>
      </c>
      <c r="H61" s="4">
        <v>-0.258331064414209</v>
      </c>
      <c r="I61" s="3">
        <v>-0.54631458979722602</v>
      </c>
      <c r="J61" s="3">
        <v>-0.35068803620976202</v>
      </c>
      <c r="K61" s="4">
        <v>-0.39825741857319102</v>
      </c>
      <c r="L61" s="3">
        <v>-0.25305421319416999</v>
      </c>
      <c r="M61" s="3">
        <v>-0.410627240446296</v>
      </c>
      <c r="N61" s="4">
        <v>-0.33840071181736198</v>
      </c>
      <c r="O61" s="5">
        <v>-0.30077481594816102</v>
      </c>
    </row>
    <row r="62" spans="1:15" x14ac:dyDescent="0.25">
      <c r="A62" s="17"/>
      <c r="B62" s="2" t="s">
        <v>16</v>
      </c>
      <c r="C62" s="3">
        <v>7.3767865154136997E-2</v>
      </c>
      <c r="D62" s="3">
        <v>0</v>
      </c>
      <c r="E62" s="4">
        <v>1.10808746606422E-2</v>
      </c>
      <c r="F62" s="3">
        <v>0.27109404039152502</v>
      </c>
      <c r="G62" s="3">
        <v>0.56888328490762596</v>
      </c>
      <c r="H62" s="4">
        <v>0.42907832359014603</v>
      </c>
      <c r="I62" s="3">
        <v>0.11337141524831</v>
      </c>
      <c r="J62" s="3">
        <v>0.158136457400848</v>
      </c>
      <c r="K62" s="4">
        <v>0.13014158027499501</v>
      </c>
      <c r="L62" s="3">
        <v>1.4867519779111101E-3</v>
      </c>
      <c r="M62" s="3">
        <v>0.21235133568085099</v>
      </c>
      <c r="N62" s="4">
        <v>0.10358451162313</v>
      </c>
      <c r="O62" s="5">
        <v>8.1347781034055294E-2</v>
      </c>
    </row>
    <row r="63" spans="1:15" x14ac:dyDescent="0.25">
      <c r="A63" s="17"/>
      <c r="B63" s="2" t="s">
        <v>17</v>
      </c>
      <c r="C63" s="3">
        <v>0.19491978038411401</v>
      </c>
      <c r="D63" s="3">
        <v>1</v>
      </c>
      <c r="E63" s="4">
        <v>0.87906667779139802</v>
      </c>
      <c r="F63" s="3">
        <v>0.208400446041383</v>
      </c>
      <c r="G63" s="3">
        <v>0.43089742886903099</v>
      </c>
      <c r="H63" s="4">
        <v>0.32644039205421299</v>
      </c>
      <c r="I63" s="3">
        <v>0.37787363021683401</v>
      </c>
      <c r="J63" s="3">
        <v>0.841727318724945</v>
      </c>
      <c r="K63" s="4">
        <v>0.55164545149672695</v>
      </c>
      <c r="L63" s="3">
        <v>0.97489778580151898</v>
      </c>
      <c r="M63" s="3">
        <v>0.77337971801507499</v>
      </c>
      <c r="N63" s="4">
        <v>0.87732548187202597</v>
      </c>
      <c r="O63" s="5">
        <v>0.77708784956421695</v>
      </c>
    </row>
    <row r="64" spans="1:15" x14ac:dyDescent="0.25">
      <c r="A64" s="17"/>
      <c r="B64" s="2" t="s">
        <v>18</v>
      </c>
      <c r="C64" s="3">
        <v>2.7060869565217402E-3</v>
      </c>
      <c r="D64" s="3">
        <v>-7.9065102048191799E-4</v>
      </c>
      <c r="E64" s="4">
        <v>2.7060869565217402E-3</v>
      </c>
      <c r="F64" s="3">
        <v>5.31038647342995E-3</v>
      </c>
      <c r="G64" s="3">
        <v>5.5536626916524697E-3</v>
      </c>
      <c r="H64" s="4">
        <v>5.5536626916524697E-3</v>
      </c>
      <c r="I64" s="3">
        <v>5.0580645161290303E-3</v>
      </c>
      <c r="J64" s="3">
        <v>6.3266337589434904E-3</v>
      </c>
      <c r="K64" s="4">
        <v>6.3266337589434904E-3</v>
      </c>
      <c r="L64" s="3">
        <v>2.3622477808358999E-3</v>
      </c>
      <c r="M64" s="3">
        <v>5.9022587268993797E-3</v>
      </c>
      <c r="N64" s="4">
        <v>5.9022587268993797E-3</v>
      </c>
      <c r="O64" s="5">
        <v>6.3266337589434904E-3</v>
      </c>
    </row>
    <row r="65" spans="1:15" x14ac:dyDescent="0.25">
      <c r="A65" s="18"/>
      <c r="B65" s="11" t="s">
        <v>19</v>
      </c>
      <c r="C65" s="12">
        <v>-3.89280320289314E-3</v>
      </c>
      <c r="D65" s="12">
        <v>-2.8900218992297202E-3</v>
      </c>
      <c r="E65" s="13">
        <v>-3.89280320289314E-3</v>
      </c>
      <c r="F65" s="12">
        <v>-2.2317924295919198E-2</v>
      </c>
      <c r="G65" s="12">
        <v>-2.4667224196808099E-2</v>
      </c>
      <c r="H65" s="13">
        <v>-2.4667224196808099E-2</v>
      </c>
      <c r="I65" s="12">
        <v>-1.7446220087369999E-2</v>
      </c>
      <c r="J65" s="12">
        <v>-1.46306828746937E-2</v>
      </c>
      <c r="K65" s="13">
        <v>-1.7446220087369999E-2</v>
      </c>
      <c r="L65" s="12">
        <v>-3.7812839861012999E-3</v>
      </c>
      <c r="M65" s="12">
        <v>-1.8084194077066702E-2</v>
      </c>
      <c r="N65" s="13">
        <v>-1.8084194077066702E-2</v>
      </c>
      <c r="O65" s="14">
        <v>-2.4667224196808099E-2</v>
      </c>
    </row>
    <row r="66" spans="1:15" x14ac:dyDescent="0.25">
      <c r="A66" s="17" t="s">
        <v>26</v>
      </c>
      <c r="B66" s="2" t="s">
        <v>11</v>
      </c>
      <c r="C66" s="6">
        <v>51937</v>
      </c>
      <c r="D66" s="6">
        <v>233214</v>
      </c>
      <c r="E66" s="7">
        <v>285151</v>
      </c>
      <c r="F66" s="6">
        <v>20075</v>
      </c>
      <c r="G66" s="6">
        <v>19957</v>
      </c>
      <c r="H66" s="7">
        <v>40032</v>
      </c>
      <c r="I66" s="6">
        <v>101510</v>
      </c>
      <c r="J66" s="6">
        <v>54303</v>
      </c>
      <c r="K66" s="7">
        <v>155813</v>
      </c>
      <c r="L66" s="6">
        <v>67443</v>
      </c>
      <c r="M66" s="6">
        <v>74574</v>
      </c>
      <c r="N66" s="7">
        <v>142017</v>
      </c>
      <c r="O66" s="8">
        <v>623013</v>
      </c>
    </row>
    <row r="67" spans="1:15" x14ac:dyDescent="0.25">
      <c r="A67" s="17"/>
      <c r="B67" s="2" t="s">
        <v>12</v>
      </c>
      <c r="C67" s="6">
        <v>-1776.98860994039</v>
      </c>
      <c r="D67" s="6">
        <v>-45790.179617479698</v>
      </c>
      <c r="E67" s="7">
        <v>-47567.168227420101</v>
      </c>
      <c r="F67" s="6">
        <v>-853.407879783505</v>
      </c>
      <c r="G67" s="6">
        <v>-3570.21343399943</v>
      </c>
      <c r="H67" s="7">
        <v>-4423.62131378294</v>
      </c>
      <c r="I67" s="6">
        <v>-19460.740452637299</v>
      </c>
      <c r="J67" s="6">
        <v>-22912.343694000701</v>
      </c>
      <c r="K67" s="7">
        <v>-42373.084146637899</v>
      </c>
      <c r="L67" s="6">
        <v>-13049.0991669909</v>
      </c>
      <c r="M67" s="6">
        <v>-38181.320024253</v>
      </c>
      <c r="N67" s="7">
        <v>-51230.419191243898</v>
      </c>
      <c r="O67" s="8">
        <v>-145594.292879085</v>
      </c>
    </row>
    <row r="68" spans="1:15" x14ac:dyDescent="0.25">
      <c r="A68" s="17"/>
      <c r="B68" s="2" t="s">
        <v>13</v>
      </c>
      <c r="C68" s="6">
        <v>-25.782061358954099</v>
      </c>
      <c r="D68" s="6">
        <v>-147.95429705978199</v>
      </c>
      <c r="E68" s="7">
        <v>-125.702018773562</v>
      </c>
      <c r="F68" s="6">
        <v>-32.033983555584904</v>
      </c>
      <c r="G68" s="6">
        <v>-134.80586151203599</v>
      </c>
      <c r="H68" s="7">
        <v>-83.268455187701406</v>
      </c>
      <c r="I68" s="6">
        <v>-144.46424974395299</v>
      </c>
      <c r="J68" s="6">
        <v>-317.947596191998</v>
      </c>
      <c r="K68" s="7">
        <v>-204.92561151844001</v>
      </c>
      <c r="L68" s="6">
        <v>-145.798650755453</v>
      </c>
      <c r="M68" s="6">
        <v>-385.80988820162901</v>
      </c>
      <c r="N68" s="7">
        <v>-271.83002743085899</v>
      </c>
      <c r="O68" s="8">
        <v>-176.09908375354101</v>
      </c>
    </row>
    <row r="69" spans="1:15" x14ac:dyDescent="0.25">
      <c r="A69" s="17"/>
      <c r="B69" s="2" t="s">
        <v>14</v>
      </c>
      <c r="C69" s="3">
        <v>-3.7605020952656201E-4</v>
      </c>
      <c r="D69" s="3">
        <v>-2.1898267973606798E-3</v>
      </c>
      <c r="E69" s="4">
        <v>-1.8554966904747801E-3</v>
      </c>
      <c r="F69" s="3">
        <v>-4.66814969457792E-4</v>
      </c>
      <c r="G69" s="3">
        <v>-1.9843527348753398E-3</v>
      </c>
      <c r="H69" s="4">
        <v>-1.21952443775869E-3</v>
      </c>
      <c r="I69" s="3">
        <v>-2.1074169078990701E-3</v>
      </c>
      <c r="J69" s="3">
        <v>-4.6956635045817497E-3</v>
      </c>
      <c r="K69" s="4">
        <v>-3.0022292798273201E-3</v>
      </c>
      <c r="L69" s="3">
        <v>-2.1554824449600699E-3</v>
      </c>
      <c r="M69" s="3">
        <v>-5.7074010906996804E-3</v>
      </c>
      <c r="N69" s="4">
        <v>-4.0200578264480702E-3</v>
      </c>
      <c r="O69" s="5">
        <v>-2.5943053817480402E-3</v>
      </c>
    </row>
    <row r="70" spans="1:15" x14ac:dyDescent="0.25">
      <c r="A70" s="17"/>
      <c r="B70" s="2" t="s">
        <v>15</v>
      </c>
      <c r="C70" s="3">
        <v>-0.147069477336184</v>
      </c>
      <c r="D70" s="3">
        <v>-0.16967143366736601</v>
      </c>
      <c r="E70" s="4">
        <v>-0.16870288080794599</v>
      </c>
      <c r="F70" s="3">
        <v>-0.14535033399436001</v>
      </c>
      <c r="G70" s="3">
        <v>-0.15511994769333901</v>
      </c>
      <c r="H70" s="4">
        <v>-0.15313425330094199</v>
      </c>
      <c r="I70" s="3">
        <v>-0.41191480847744799</v>
      </c>
      <c r="J70" s="3">
        <v>-0.302976133050324</v>
      </c>
      <c r="K70" s="4">
        <v>-0.34486439368608701</v>
      </c>
      <c r="L70" s="3">
        <v>-0.17675258856319101</v>
      </c>
      <c r="M70" s="3">
        <v>-0.360541333447773</v>
      </c>
      <c r="N70" s="4">
        <v>-0.28504591828801901</v>
      </c>
      <c r="O70" s="5">
        <v>-0.23734026466566899</v>
      </c>
    </row>
    <row r="71" spans="1:15" x14ac:dyDescent="0.25">
      <c r="A71" s="17"/>
      <c r="B71" s="2" t="s">
        <v>16</v>
      </c>
      <c r="C71" s="3">
        <v>0.387604212796272</v>
      </c>
      <c r="D71" s="3">
        <v>0</v>
      </c>
      <c r="E71" s="4">
        <v>7.0597683332690397E-2</v>
      </c>
      <c r="F71" s="3">
        <v>0.56034869240348695</v>
      </c>
      <c r="G71" s="3">
        <v>0.61076314075261795</v>
      </c>
      <c r="H71" s="4">
        <v>0.58548161470823301</v>
      </c>
      <c r="I71" s="3">
        <v>0.315200472859817</v>
      </c>
      <c r="J71" s="3">
        <v>0.19626908273944299</v>
      </c>
      <c r="K71" s="4">
        <v>0.27375122743288399</v>
      </c>
      <c r="L71" s="3">
        <v>1.53907744317424E-2</v>
      </c>
      <c r="M71" s="3">
        <v>0.25176334915654203</v>
      </c>
      <c r="N71" s="4">
        <v>0.13951146693705699</v>
      </c>
      <c r="O71" s="5">
        <v>0.170198695693348</v>
      </c>
    </row>
    <row r="72" spans="1:15" x14ac:dyDescent="0.25">
      <c r="A72" s="17"/>
      <c r="B72" s="2" t="s">
        <v>17</v>
      </c>
      <c r="C72" s="3">
        <v>0.217128444076477</v>
      </c>
      <c r="D72" s="3">
        <v>1</v>
      </c>
      <c r="E72" s="4">
        <v>0.85740888161009399</v>
      </c>
      <c r="F72" s="3">
        <v>0.183760896637609</v>
      </c>
      <c r="G72" s="3">
        <v>0.38923685924738199</v>
      </c>
      <c r="H72" s="4">
        <v>0.28619604316546798</v>
      </c>
      <c r="I72" s="3">
        <v>0.51953502118017902</v>
      </c>
      <c r="J72" s="3">
        <v>0.80373091726055601</v>
      </c>
      <c r="K72" s="4">
        <v>0.61858124803450298</v>
      </c>
      <c r="L72" s="3">
        <v>0.97144255148792302</v>
      </c>
      <c r="M72" s="3">
        <v>0.74312763161423601</v>
      </c>
      <c r="N72" s="4">
        <v>0.85155298309357297</v>
      </c>
      <c r="O72" s="5">
        <v>0.75964064955305899</v>
      </c>
    </row>
    <row r="73" spans="1:15" x14ac:dyDescent="0.25">
      <c r="A73" s="17"/>
      <c r="B73" s="2" t="s">
        <v>18</v>
      </c>
      <c r="C73" s="3">
        <v>2.6222865412445701E-3</v>
      </c>
      <c r="D73" s="3">
        <v>-1.5883368357749799E-3</v>
      </c>
      <c r="E73" s="4">
        <v>2.6222865412445701E-3</v>
      </c>
      <c r="F73" s="3">
        <v>6.0671724137930996E-3</v>
      </c>
      <c r="G73" s="3">
        <v>7.6763350271002702E-3</v>
      </c>
      <c r="H73" s="4">
        <v>7.6763350271002702E-3</v>
      </c>
      <c r="I73" s="3">
        <v>9.3701435246996007E-3</v>
      </c>
      <c r="J73" s="3">
        <v>8.9414842704149903E-3</v>
      </c>
      <c r="K73" s="4">
        <v>9.3701435246996007E-3</v>
      </c>
      <c r="L73" s="3">
        <v>2.5710456497360602E-3</v>
      </c>
      <c r="M73" s="3">
        <v>8.6114048084046102E-3</v>
      </c>
      <c r="N73" s="4">
        <v>8.6114048084046102E-3</v>
      </c>
      <c r="O73" s="5">
        <v>9.3701435246996007E-3</v>
      </c>
    </row>
    <row r="74" spans="1:15" x14ac:dyDescent="0.25">
      <c r="A74" s="18"/>
      <c r="B74" s="11" t="s">
        <v>19</v>
      </c>
      <c r="C74" s="12">
        <v>-5.34585936318772E-3</v>
      </c>
      <c r="D74" s="12">
        <v>-2.7638292538954799E-3</v>
      </c>
      <c r="E74" s="13">
        <v>-5.34585936318772E-3</v>
      </c>
      <c r="F74" s="12">
        <v>-2.8827666256998501E-2</v>
      </c>
      <c r="G74" s="12">
        <v>-2.44867371206814E-2</v>
      </c>
      <c r="H74" s="13">
        <v>-2.8827666256998501E-2</v>
      </c>
      <c r="I74" s="12">
        <v>-2.6113927939261799E-2</v>
      </c>
      <c r="J74" s="12">
        <v>-1.94827104482183E-2</v>
      </c>
      <c r="K74" s="13">
        <v>-2.6113927939261799E-2</v>
      </c>
      <c r="L74" s="12">
        <v>-5.0199420755353804E-3</v>
      </c>
      <c r="M74" s="12">
        <v>-2.63381540580538E-2</v>
      </c>
      <c r="N74" s="13">
        <v>-2.63381540580538E-2</v>
      </c>
      <c r="O74" s="14">
        <v>-2.8827666256998501E-2</v>
      </c>
    </row>
    <row r="75" spans="1:15" x14ac:dyDescent="0.25">
      <c r="A75" s="17" t="s">
        <v>27</v>
      </c>
      <c r="B75" s="2" t="s">
        <v>11</v>
      </c>
      <c r="C75" s="6">
        <v>55950</v>
      </c>
      <c r="D75" s="6">
        <v>187645</v>
      </c>
      <c r="E75" s="7">
        <v>243595</v>
      </c>
      <c r="F75" s="6">
        <v>26425</v>
      </c>
      <c r="G75" s="6">
        <v>25783</v>
      </c>
      <c r="H75" s="7">
        <v>52208</v>
      </c>
      <c r="I75" s="6">
        <v>132867</v>
      </c>
      <c r="J75" s="6">
        <v>62713</v>
      </c>
      <c r="K75" s="7">
        <v>195580</v>
      </c>
      <c r="L75" s="6">
        <v>57679</v>
      </c>
      <c r="M75" s="6">
        <v>75816</v>
      </c>
      <c r="N75" s="7">
        <v>133495</v>
      </c>
      <c r="O75" s="8">
        <v>624878</v>
      </c>
    </row>
    <row r="76" spans="1:15" x14ac:dyDescent="0.25">
      <c r="A76" s="17"/>
      <c r="B76" s="2" t="s">
        <v>12</v>
      </c>
      <c r="C76" s="6">
        <v>-2656.4066306981499</v>
      </c>
      <c r="D76" s="6">
        <v>-24544.6636652571</v>
      </c>
      <c r="E76" s="7">
        <v>-27201.0702959552</v>
      </c>
      <c r="F76" s="6">
        <v>4310.1484001546596</v>
      </c>
      <c r="G76" s="6">
        <v>-2628.3219393569798</v>
      </c>
      <c r="H76" s="7">
        <v>1681.8264607976801</v>
      </c>
      <c r="I76" s="6">
        <v>-28090.416212229899</v>
      </c>
      <c r="J76" s="6">
        <v>-24982.706498945699</v>
      </c>
      <c r="K76" s="7">
        <v>-53073.122711175602</v>
      </c>
      <c r="L76" s="6">
        <v>-7683.6244045801404</v>
      </c>
      <c r="M76" s="6">
        <v>-46767.511377522998</v>
      </c>
      <c r="N76" s="7">
        <v>-54451.135782103098</v>
      </c>
      <c r="O76" s="8">
        <v>-133043.50232843601</v>
      </c>
    </row>
    <row r="77" spans="1:15" x14ac:dyDescent="0.25">
      <c r="A77" s="17"/>
      <c r="B77" s="2" t="s">
        <v>13</v>
      </c>
      <c r="C77" s="6">
        <v>-35.777032747095603</v>
      </c>
      <c r="D77" s="6">
        <v>-98.566637754802898</v>
      </c>
      <c r="E77" s="7">
        <v>-84.144837635008898</v>
      </c>
      <c r="F77" s="6">
        <v>122.909961066703</v>
      </c>
      <c r="G77" s="6">
        <v>-76.816579577319004</v>
      </c>
      <c r="H77" s="7">
        <v>24.274705982715499</v>
      </c>
      <c r="I77" s="6">
        <v>-159.31288365446301</v>
      </c>
      <c r="J77" s="6">
        <v>-300.186918679928</v>
      </c>
      <c r="K77" s="7">
        <v>-204.48433962415299</v>
      </c>
      <c r="L77" s="6">
        <v>-100.382558076596</v>
      </c>
      <c r="M77" s="6">
        <v>-464.82903367238299</v>
      </c>
      <c r="N77" s="7">
        <v>-307.36314906330102</v>
      </c>
      <c r="O77" s="8">
        <v>-160.43838733585099</v>
      </c>
    </row>
    <row r="78" spans="1:15" x14ac:dyDescent="0.25">
      <c r="A78" s="17"/>
      <c r="B78" s="2" t="s">
        <v>14</v>
      </c>
      <c r="C78" s="3">
        <v>-4.1614200686673801E-4</v>
      </c>
      <c r="D78" s="3">
        <v>-1.1689874339681099E-3</v>
      </c>
      <c r="E78" s="4">
        <v>-9.9346748633223191E-4</v>
      </c>
      <c r="F78" s="3">
        <v>1.41816791966667E-3</v>
      </c>
      <c r="G78" s="3">
        <v>-9.0125300934952796E-4</v>
      </c>
      <c r="H78" s="4">
        <v>2.8239723076736999E-4</v>
      </c>
      <c r="I78" s="3">
        <v>-1.85065590289877E-3</v>
      </c>
      <c r="J78" s="3">
        <v>-3.53448058782777E-3</v>
      </c>
      <c r="K78" s="4">
        <v>-2.3856402402480802E-3</v>
      </c>
      <c r="L78" s="3">
        <v>-1.1899244710654401E-3</v>
      </c>
      <c r="M78" s="3">
        <v>-5.49760397612911E-3</v>
      </c>
      <c r="N78" s="4">
        <v>-3.6387780010036499E-3</v>
      </c>
      <c r="O78" s="5">
        <v>-1.8858979579170301E-3</v>
      </c>
    </row>
    <row r="79" spans="1:15" x14ac:dyDescent="0.25">
      <c r="A79" s="17"/>
      <c r="B79" s="2" t="s">
        <v>15</v>
      </c>
      <c r="C79" s="3">
        <v>-6.0955310605944397E-2</v>
      </c>
      <c r="D79" s="3">
        <v>-5.9178698389183097E-2</v>
      </c>
      <c r="E79" s="4">
        <v>-5.9347623023622502E-2</v>
      </c>
      <c r="F79" s="3">
        <v>0.19511832262630799</v>
      </c>
      <c r="G79" s="3">
        <v>-4.4752372051462701E-2</v>
      </c>
      <c r="H79" s="4">
        <v>2.0809466255595498E-2</v>
      </c>
      <c r="I79" s="3">
        <v>-0.17108947175657099</v>
      </c>
      <c r="J79" s="3">
        <v>-0.15615922173636601</v>
      </c>
      <c r="K79" s="4">
        <v>-0.16372114199008</v>
      </c>
      <c r="L79" s="3">
        <v>-6.4290530380507901E-2</v>
      </c>
      <c r="M79" s="3">
        <v>-0.23500939685516301</v>
      </c>
      <c r="N79" s="4">
        <v>-0.17095215082826301</v>
      </c>
      <c r="O79" s="5">
        <v>-0.112573240173734</v>
      </c>
    </row>
    <row r="80" spans="1:15" x14ac:dyDescent="0.25">
      <c r="A80" s="17"/>
      <c r="B80" s="2" t="s">
        <v>16</v>
      </c>
      <c r="C80" s="3">
        <v>0.51403038427167103</v>
      </c>
      <c r="D80" s="3">
        <v>0.122960910229423</v>
      </c>
      <c r="E80" s="4">
        <v>0.21278351361891701</v>
      </c>
      <c r="F80" s="3">
        <v>0.79280983916745495</v>
      </c>
      <c r="G80" s="3">
        <v>0.62040879649381397</v>
      </c>
      <c r="H80" s="4">
        <v>0.70766932270916305</v>
      </c>
      <c r="I80" s="3">
        <v>0.47849353112511001</v>
      </c>
      <c r="J80" s="3">
        <v>0.37038572544767401</v>
      </c>
      <c r="K80" s="4">
        <v>0.443828612332549</v>
      </c>
      <c r="L80" s="3">
        <v>0.11929818478129001</v>
      </c>
      <c r="M80" s="3">
        <v>0.35522844782104002</v>
      </c>
      <c r="N80" s="4">
        <v>0.253290385407693</v>
      </c>
      <c r="O80" s="5">
        <v>0.33509901132701098</v>
      </c>
    </row>
    <row r="81" spans="1:15" x14ac:dyDescent="0.25">
      <c r="A81" s="17"/>
      <c r="B81" s="2" t="s">
        <v>17</v>
      </c>
      <c r="C81" s="3">
        <v>0.33685433422698802</v>
      </c>
      <c r="D81" s="3">
        <v>0.87703908977057699</v>
      </c>
      <c r="E81" s="4">
        <v>0.75296701492231</v>
      </c>
      <c r="F81" s="3">
        <v>0.16404919583727501</v>
      </c>
      <c r="G81" s="3">
        <v>0.37951363301400098</v>
      </c>
      <c r="H81" s="4">
        <v>0.270456634998468</v>
      </c>
      <c r="I81" s="3">
        <v>0.50374434584960903</v>
      </c>
      <c r="J81" s="3">
        <v>0.62961427455232599</v>
      </c>
      <c r="K81" s="4">
        <v>0.54410471418345396</v>
      </c>
      <c r="L81" s="3">
        <v>0.87260528095147305</v>
      </c>
      <c r="M81" s="3">
        <v>0.64380869473462099</v>
      </c>
      <c r="N81" s="4">
        <v>0.74266451927038502</v>
      </c>
      <c r="O81" s="5">
        <v>0.64508111983459204</v>
      </c>
    </row>
    <row r="82" spans="1:15" x14ac:dyDescent="0.25">
      <c r="A82" s="17"/>
      <c r="B82" s="2" t="s">
        <v>18</v>
      </c>
      <c r="C82" s="3">
        <v>9.7153277276871702E-3</v>
      </c>
      <c r="D82" s="3">
        <v>9.4274373130537597E-4</v>
      </c>
      <c r="E82" s="4">
        <v>9.7153277276871702E-3</v>
      </c>
      <c r="F82" s="3">
        <v>1.13424301226209E-2</v>
      </c>
      <c r="G82" s="3">
        <v>1.38132354572313E-2</v>
      </c>
      <c r="H82" s="4">
        <v>1.38132354572313E-2</v>
      </c>
      <c r="I82" s="3">
        <v>1.5415610977136099E-2</v>
      </c>
      <c r="J82" s="3">
        <v>1.7415865658206499E-2</v>
      </c>
      <c r="K82" s="4">
        <v>1.7415865658206499E-2</v>
      </c>
      <c r="L82" s="3">
        <v>9.1522743857942093E-3</v>
      </c>
      <c r="M82" s="3">
        <v>1.60499663069388E-2</v>
      </c>
      <c r="N82" s="4">
        <v>1.60499663069388E-2</v>
      </c>
      <c r="O82" s="5">
        <v>1.7415865658206499E-2</v>
      </c>
    </row>
    <row r="83" spans="1:15" x14ac:dyDescent="0.25">
      <c r="A83" s="18"/>
      <c r="B83" s="11" t="s">
        <v>19</v>
      </c>
      <c r="C83" s="12">
        <v>-7.3211370959300904E-3</v>
      </c>
      <c r="D83" s="12">
        <v>-2.3302545273350202E-3</v>
      </c>
      <c r="E83" s="13">
        <v>-7.3211370959300904E-3</v>
      </c>
      <c r="F83" s="12">
        <v>-4.3489307797049001E-2</v>
      </c>
      <c r="G83" s="12">
        <v>-3.4282308231226702E-2</v>
      </c>
      <c r="H83" s="13">
        <v>-4.3489307797049001E-2</v>
      </c>
      <c r="I83" s="12">
        <v>-3.6695096063704802E-2</v>
      </c>
      <c r="J83" s="12">
        <v>-3.2452185595635702E-2</v>
      </c>
      <c r="K83" s="13">
        <v>-3.6695096063704802E-2</v>
      </c>
      <c r="L83" s="12">
        <v>-6.6587575250645799E-3</v>
      </c>
      <c r="M83" s="12">
        <v>-3.7718346674671201E-2</v>
      </c>
      <c r="N83" s="13">
        <v>-3.7718346674671201E-2</v>
      </c>
      <c r="O83" s="14">
        <v>-4.3489307797049001E-2</v>
      </c>
    </row>
    <row r="84" spans="1:15" x14ac:dyDescent="0.25">
      <c r="A84" s="17" t="s">
        <v>28</v>
      </c>
      <c r="B84" s="2" t="s">
        <v>11</v>
      </c>
      <c r="C84" s="6">
        <v>51544</v>
      </c>
      <c r="D84" s="6">
        <v>134407</v>
      </c>
      <c r="E84" s="7">
        <v>185951</v>
      </c>
      <c r="F84" s="6">
        <v>44301</v>
      </c>
      <c r="G84" s="6">
        <v>32075</v>
      </c>
      <c r="H84" s="7">
        <v>76376</v>
      </c>
      <c r="I84" s="6">
        <v>181522</v>
      </c>
      <c r="J84" s="6">
        <v>74590</v>
      </c>
      <c r="K84" s="7">
        <v>256112</v>
      </c>
      <c r="L84" s="6">
        <v>42691</v>
      </c>
      <c r="M84" s="6">
        <v>65724</v>
      </c>
      <c r="N84" s="7">
        <v>108415</v>
      </c>
      <c r="O84" s="8">
        <v>626854</v>
      </c>
    </row>
    <row r="85" spans="1:15" x14ac:dyDescent="0.25">
      <c r="A85" s="17"/>
      <c r="B85" s="2" t="s">
        <v>12</v>
      </c>
      <c r="C85" s="6">
        <v>36476.472168328997</v>
      </c>
      <c r="D85" s="6">
        <v>53849.677952566199</v>
      </c>
      <c r="E85" s="7">
        <v>90326.150120895196</v>
      </c>
      <c r="F85" s="6">
        <v>29305.386615793501</v>
      </c>
      <c r="G85" s="6">
        <v>-34817.486605590297</v>
      </c>
      <c r="H85" s="7">
        <v>-5512.0999897968404</v>
      </c>
      <c r="I85" s="6">
        <v>-56177.998183297903</v>
      </c>
      <c r="J85" s="6">
        <v>-34556.899636014197</v>
      </c>
      <c r="K85" s="7">
        <v>-90734.8978193121</v>
      </c>
      <c r="L85" s="6">
        <v>18126.632224331399</v>
      </c>
      <c r="M85" s="6">
        <v>-99762.383734601593</v>
      </c>
      <c r="N85" s="7">
        <v>-81635.7515102701</v>
      </c>
      <c r="O85" s="8">
        <v>-87556.599198483906</v>
      </c>
    </row>
    <row r="86" spans="1:15" x14ac:dyDescent="0.25">
      <c r="A86" s="17"/>
      <c r="B86" s="2" t="s">
        <v>13</v>
      </c>
      <c r="C86" s="6">
        <v>533.26682192301803</v>
      </c>
      <c r="D86" s="6">
        <v>301.90553582774697</v>
      </c>
      <c r="E86" s="7">
        <v>366.03687220396802</v>
      </c>
      <c r="F86" s="6">
        <v>498.47545606634202</v>
      </c>
      <c r="G86" s="6">
        <v>-817.97608386554703</v>
      </c>
      <c r="H86" s="7">
        <v>-54.383860254430701</v>
      </c>
      <c r="I86" s="6">
        <v>-233.20982632147599</v>
      </c>
      <c r="J86" s="6">
        <v>-349.11139003927002</v>
      </c>
      <c r="K86" s="7">
        <v>-266.96497109294398</v>
      </c>
      <c r="L86" s="6">
        <v>319.956287648451</v>
      </c>
      <c r="M86" s="6">
        <v>-1143.8068271520799</v>
      </c>
      <c r="N86" s="7">
        <v>-567.41508123177903</v>
      </c>
      <c r="O86" s="8">
        <v>-105.252479837237</v>
      </c>
    </row>
    <row r="87" spans="1:15" x14ac:dyDescent="0.25">
      <c r="A87" s="17"/>
      <c r="B87" s="2" t="s">
        <v>14</v>
      </c>
      <c r="C87" s="3">
        <v>3.41222916515535E-3</v>
      </c>
      <c r="D87" s="3">
        <v>1.9841341063253199E-3</v>
      </c>
      <c r="E87" s="4">
        <v>2.38768161429066E-3</v>
      </c>
      <c r="F87" s="3">
        <v>2.5608432669364501E-3</v>
      </c>
      <c r="G87" s="3">
        <v>-4.3345309711914403E-3</v>
      </c>
      <c r="H87" s="4">
        <v>-2.8301676031068803E-4</v>
      </c>
      <c r="I87" s="3">
        <v>-1.4894524031410701E-3</v>
      </c>
      <c r="J87" s="3">
        <v>-2.2956468098427299E-3</v>
      </c>
      <c r="K87" s="4">
        <v>-1.7194263899929199E-3</v>
      </c>
      <c r="L87" s="3">
        <v>1.8768776022585799E-3</v>
      </c>
      <c r="M87" s="3">
        <v>-7.0826183384277803E-3</v>
      </c>
      <c r="N87" s="4">
        <v>-3.4382518724009698E-3</v>
      </c>
      <c r="O87" s="5">
        <v>-6.54285705411023E-4</v>
      </c>
    </row>
    <row r="88" spans="1:15" x14ac:dyDescent="0.25">
      <c r="A88" s="17"/>
      <c r="B88" s="2" t="s">
        <v>15</v>
      </c>
      <c r="C88" s="3">
        <v>7.54323802642798E-2</v>
      </c>
      <c r="D88" s="3">
        <v>3.3603583131837797E-2</v>
      </c>
      <c r="E88" s="4">
        <v>4.32998132984267E-2</v>
      </c>
      <c r="F88" s="3">
        <v>3.8698591563611398E-2</v>
      </c>
      <c r="G88" s="3">
        <v>-5.3378677060387403E-2</v>
      </c>
      <c r="H88" s="4">
        <v>-3.91054989627862E-3</v>
      </c>
      <c r="I88" s="3">
        <v>-2.7629823670734702E-2</v>
      </c>
      <c r="J88" s="3">
        <v>-3.6300285031438999E-2</v>
      </c>
      <c r="K88" s="4">
        <v>-3.03948032326051E-2</v>
      </c>
      <c r="L88" s="3">
        <v>2.8564679153731499E-2</v>
      </c>
      <c r="M88" s="3">
        <v>-9.77795159338707E-2</v>
      </c>
      <c r="N88" s="4">
        <v>-4.93308811449557E-2</v>
      </c>
      <c r="O88" s="5">
        <v>-1.0762048965030101E-2</v>
      </c>
    </row>
    <row r="89" spans="1:15" x14ac:dyDescent="0.25">
      <c r="A89" s="17"/>
      <c r="B89" s="2" t="s">
        <v>16</v>
      </c>
      <c r="C89" s="3">
        <v>0.72768896476796496</v>
      </c>
      <c r="D89" s="3">
        <v>1</v>
      </c>
      <c r="E89" s="4">
        <v>0.924517749299547</v>
      </c>
      <c r="F89" s="3">
        <v>0.78749915351797894</v>
      </c>
      <c r="G89" s="3">
        <v>0.52109119251753699</v>
      </c>
      <c r="H89" s="4">
        <v>0.67561799518173205</v>
      </c>
      <c r="I89" s="3">
        <v>0.55896805896805901</v>
      </c>
      <c r="J89" s="3">
        <v>0.51446574607856299</v>
      </c>
      <c r="K89" s="4">
        <v>0.546007215593178</v>
      </c>
      <c r="L89" s="3">
        <v>0.97641189009393103</v>
      </c>
      <c r="M89" s="3">
        <v>0.45672813584078897</v>
      </c>
      <c r="N89" s="4">
        <v>0.66136604713369895</v>
      </c>
      <c r="O89" s="5">
        <v>0.69403242222271899</v>
      </c>
    </row>
    <row r="90" spans="1:15" x14ac:dyDescent="0.25">
      <c r="A90" s="17"/>
      <c r="B90" s="2" t="s">
        <v>17</v>
      </c>
      <c r="C90" s="3">
        <v>0.26914868849914603</v>
      </c>
      <c r="D90" s="3">
        <v>0</v>
      </c>
      <c r="E90" s="4">
        <v>7.4605675688756701E-2</v>
      </c>
      <c r="F90" s="3">
        <v>0.211214193810523</v>
      </c>
      <c r="G90" s="3">
        <v>0.47890880748246301</v>
      </c>
      <c r="H90" s="4">
        <v>0.32363569707761602</v>
      </c>
      <c r="I90" s="3">
        <v>0.44081158206718701</v>
      </c>
      <c r="J90" s="3">
        <v>0.48553425392143701</v>
      </c>
      <c r="K90" s="4">
        <v>0.453836602736303</v>
      </c>
      <c r="L90" s="3">
        <v>2.3166475369515799E-2</v>
      </c>
      <c r="M90" s="3">
        <v>0.54322621873288301</v>
      </c>
      <c r="N90" s="4">
        <v>0.33844025273255501</v>
      </c>
      <c r="O90" s="5">
        <v>0.30551930752615403</v>
      </c>
    </row>
    <row r="91" spans="1:15" x14ac:dyDescent="0.25">
      <c r="A91" s="17"/>
      <c r="B91" s="2" t="s">
        <v>18</v>
      </c>
      <c r="C91" s="3">
        <v>1.4463550062690299E-2</v>
      </c>
      <c r="D91" s="3">
        <v>3.4011901580451001E-3</v>
      </c>
      <c r="E91" s="4">
        <v>1.4463550062690299E-2</v>
      </c>
      <c r="F91" s="3">
        <v>1.9570646213168199E-2</v>
      </c>
      <c r="G91" s="3">
        <v>1.7791677953718998E-2</v>
      </c>
      <c r="H91" s="4">
        <v>1.9570646213168199E-2</v>
      </c>
      <c r="I91" s="3">
        <v>2.5362123677574001E-2</v>
      </c>
      <c r="J91" s="3">
        <v>2.5207199565220599E-2</v>
      </c>
      <c r="K91" s="4">
        <v>2.5362123677574001E-2</v>
      </c>
      <c r="L91" s="3">
        <v>1.41885845887547E-2</v>
      </c>
      <c r="M91" s="3">
        <v>2.44382636507973E-2</v>
      </c>
      <c r="N91" s="4">
        <v>2.44382636507973E-2</v>
      </c>
      <c r="O91" s="5">
        <v>2.5362123677574001E-2</v>
      </c>
    </row>
    <row r="92" spans="1:15" x14ac:dyDescent="0.25">
      <c r="A92" s="18"/>
      <c r="B92" s="11" t="s">
        <v>19</v>
      </c>
      <c r="C92" s="12">
        <v>-1.7706055533128099E-2</v>
      </c>
      <c r="D92" s="12">
        <v>2.3178091849992198E-9</v>
      </c>
      <c r="E92" s="13">
        <v>-1.7706055533128099E-2</v>
      </c>
      <c r="F92" s="12">
        <v>-5.5440969163894398E-2</v>
      </c>
      <c r="G92" s="12">
        <v>-4.4388639011061E-2</v>
      </c>
      <c r="H92" s="13">
        <v>-5.5440969163894398E-2</v>
      </c>
      <c r="I92" s="12">
        <v>-5.6218762250098003E-2</v>
      </c>
      <c r="J92" s="12">
        <v>-4.1915613181828799E-2</v>
      </c>
      <c r="K92" s="13">
        <v>-5.6218762250098003E-2</v>
      </c>
      <c r="L92" s="12">
        <v>-1.06155933491037E-2</v>
      </c>
      <c r="M92" s="12">
        <v>-5.64524278382183E-2</v>
      </c>
      <c r="N92" s="13">
        <v>-5.64524278382183E-2</v>
      </c>
      <c r="O92" s="14">
        <v>-5.64524278382183E-2</v>
      </c>
    </row>
    <row r="93" spans="1:15" x14ac:dyDescent="0.25">
      <c r="A93" s="17" t="s">
        <v>4</v>
      </c>
      <c r="B93" s="2" t="s">
        <v>11</v>
      </c>
      <c r="C93" s="8">
        <v>342284</v>
      </c>
      <c r="D93" s="8">
        <v>2135741</v>
      </c>
      <c r="E93" s="8">
        <v>2478025</v>
      </c>
      <c r="F93" s="8">
        <v>264010</v>
      </c>
      <c r="G93" s="8">
        <v>278850</v>
      </c>
      <c r="H93" s="8">
        <v>542860</v>
      </c>
      <c r="I93" s="8">
        <v>980052</v>
      </c>
      <c r="J93" s="8">
        <v>510880</v>
      </c>
      <c r="K93" s="8">
        <v>1490932</v>
      </c>
      <c r="L93" s="8">
        <v>848682</v>
      </c>
      <c r="M93" s="8">
        <v>909720</v>
      </c>
      <c r="N93" s="8">
        <v>1758402</v>
      </c>
      <c r="O93" s="8">
        <v>6270219</v>
      </c>
    </row>
    <row r="94" spans="1:15" x14ac:dyDescent="0.25">
      <c r="A94" s="17"/>
      <c r="B94" s="2" t="s">
        <v>12</v>
      </c>
      <c r="C94" s="8">
        <v>27607.269054983499</v>
      </c>
      <c r="D94" s="8">
        <v>-121185.498215113</v>
      </c>
      <c r="E94" s="8">
        <v>-93578.229160129602</v>
      </c>
      <c r="F94" s="8">
        <v>30358.319333892799</v>
      </c>
      <c r="G94" s="8">
        <v>-47980.150335077102</v>
      </c>
      <c r="H94" s="8">
        <v>-17621.831001184299</v>
      </c>
      <c r="I94" s="8">
        <v>-114288.428986889</v>
      </c>
      <c r="J94" s="8">
        <v>-111605.09388612</v>
      </c>
      <c r="K94" s="8">
        <v>-225893.522873009</v>
      </c>
      <c r="L94" s="8">
        <v>-43504.086782430699</v>
      </c>
      <c r="M94" s="8">
        <v>-244994.06204433201</v>
      </c>
      <c r="N94" s="8">
        <v>-288498.14882676298</v>
      </c>
      <c r="O94" s="8">
        <v>-625591.73186108598</v>
      </c>
    </row>
    <row r="95" spans="1:15" x14ac:dyDescent="0.25">
      <c r="A95" s="17"/>
      <c r="B95" s="2" t="s">
        <v>13</v>
      </c>
      <c r="C95" s="8">
        <v>60.778041724416099</v>
      </c>
      <c r="D95" s="8">
        <v>-42.757462298799297</v>
      </c>
      <c r="E95" s="8">
        <v>-28.4563368222273</v>
      </c>
      <c r="F95" s="8">
        <v>86.649727556816202</v>
      </c>
      <c r="G95" s="8">
        <v>-129.65844515483201</v>
      </c>
      <c r="H95" s="8">
        <v>-24.460934419831801</v>
      </c>
      <c r="I95" s="8">
        <v>-87.874526395512504</v>
      </c>
      <c r="J95" s="8">
        <v>-164.617108745498</v>
      </c>
      <c r="K95" s="8">
        <v>-114.170997643672</v>
      </c>
      <c r="L95" s="8">
        <v>-38.6273503930801</v>
      </c>
      <c r="M95" s="8">
        <v>-202.9353334681</v>
      </c>
      <c r="N95" s="8">
        <v>-123.633087626663</v>
      </c>
      <c r="O95" s="8">
        <v>-75.182739122959603</v>
      </c>
    </row>
    <row r="96" spans="1:15" x14ac:dyDescent="0.25">
      <c r="A96" s="17"/>
      <c r="B96" s="2" t="s">
        <v>14</v>
      </c>
      <c r="C96" s="5">
        <v>8.8041272734249495E-4</v>
      </c>
      <c r="D96" s="5">
        <v>-9.21929824779386E-4</v>
      </c>
      <c r="E96" s="5">
        <v>-5.7478780063719001E-4</v>
      </c>
      <c r="F96" s="5">
        <v>1.49199792225463E-3</v>
      </c>
      <c r="G96" s="5">
        <v>-2.6641531760113598E-3</v>
      </c>
      <c r="H96" s="5">
        <v>-4.5941679330689298E-4</v>
      </c>
      <c r="I96" s="5">
        <v>-1.3302845199670301E-3</v>
      </c>
      <c r="J96" s="5">
        <v>-2.7273146940090301E-3</v>
      </c>
      <c r="K96" s="5">
        <v>-1.7810169763344699E-3</v>
      </c>
      <c r="L96" s="5">
        <v>-8.73553893400543E-4</v>
      </c>
      <c r="M96" s="5">
        <v>-4.53018371834345E-3</v>
      </c>
      <c r="N96" s="5">
        <v>-2.77718121000451E-3</v>
      </c>
      <c r="O96" s="5">
        <v>-1.44853996680388E-3</v>
      </c>
    </row>
    <row r="97" spans="1:15" x14ac:dyDescent="0.25">
      <c r="A97" s="17"/>
      <c r="B97" s="2" t="s">
        <v>15</v>
      </c>
      <c r="C97" s="5">
        <v>5.0289497660376999E-2</v>
      </c>
      <c r="D97" s="5">
        <v>-4.5355081187042602E-2</v>
      </c>
      <c r="E97" s="5">
        <v>-2.90534900466007E-2</v>
      </c>
      <c r="F97" s="5">
        <v>3.8474375279590703E-2</v>
      </c>
      <c r="G97" s="5">
        <v>-6.3077079649626097E-2</v>
      </c>
      <c r="H97" s="5">
        <v>-1.1371036168130301E-2</v>
      </c>
      <c r="I97" s="5">
        <v>-5.0518340164339502E-2</v>
      </c>
      <c r="J97" s="5">
        <v>-8.7598316999579803E-2</v>
      </c>
      <c r="K97" s="5">
        <v>-6.3877215885550398E-2</v>
      </c>
      <c r="L97" s="5">
        <v>-4.5314314952104799E-2</v>
      </c>
      <c r="M97" s="5">
        <v>-0.167468510120099</v>
      </c>
      <c r="N97" s="5">
        <v>-0.119067594828798</v>
      </c>
      <c r="O97" s="5">
        <v>-5.8303293426530498E-2</v>
      </c>
    </row>
    <row r="98" spans="1:15" x14ac:dyDescent="0.25">
      <c r="A98" s="17"/>
      <c r="B98" s="2" t="s">
        <v>16</v>
      </c>
      <c r="C98" s="5">
        <v>0.26382477708569502</v>
      </c>
      <c r="D98" s="5">
        <v>7.3735532538823798E-2</v>
      </c>
      <c r="E98" s="5">
        <v>9.9992130829995696E-2</v>
      </c>
      <c r="F98" s="5">
        <v>0.27779250785955101</v>
      </c>
      <c r="G98" s="5">
        <v>0.28288685673301101</v>
      </c>
      <c r="H98" s="5">
        <v>0.280409313635191</v>
      </c>
      <c r="I98" s="5">
        <v>0.21483145792264099</v>
      </c>
      <c r="J98" s="5">
        <v>0.209207641716254</v>
      </c>
      <c r="K98" s="5">
        <v>0.21290441146879899</v>
      </c>
      <c r="L98" s="5">
        <v>5.9063347637866699E-2</v>
      </c>
      <c r="M98" s="5">
        <v>0.145266675460581</v>
      </c>
      <c r="N98" s="5">
        <v>0.103661165080567</v>
      </c>
      <c r="O98" s="5">
        <v>0.14348940603191099</v>
      </c>
    </row>
    <row r="99" spans="1:15" x14ac:dyDescent="0.25">
      <c r="A99" s="17"/>
      <c r="B99" s="2" t="s">
        <v>17</v>
      </c>
      <c r="C99" s="5">
        <v>0.238062544553646</v>
      </c>
      <c r="D99" s="5">
        <v>0.65368225828880899</v>
      </c>
      <c r="E99" s="5">
        <v>0.596273645342561</v>
      </c>
      <c r="F99" s="5">
        <v>9.8132646490663195E-2</v>
      </c>
      <c r="G99" s="5">
        <v>0.25188452573067999</v>
      </c>
      <c r="H99" s="5">
        <v>0.17711012047305</v>
      </c>
      <c r="I99" s="5">
        <v>0.26139633407207002</v>
      </c>
      <c r="J99" s="5">
        <v>0.57515854995302196</v>
      </c>
      <c r="K99" s="5">
        <v>0.36890951431721902</v>
      </c>
      <c r="L99" s="5">
        <v>0.715379847811076</v>
      </c>
      <c r="M99" s="5">
        <v>0.46285340544343301</v>
      </c>
      <c r="N99" s="5">
        <v>0.58473375257762406</v>
      </c>
      <c r="O99" s="5">
        <v>0.50268467496908797</v>
      </c>
    </row>
    <row r="100" spans="1:15" x14ac:dyDescent="0.25">
      <c r="A100" s="17"/>
      <c r="B100" s="2" t="s">
        <v>18</v>
      </c>
      <c r="C100" s="5">
        <v>1.4463550062690299E-2</v>
      </c>
      <c r="D100" s="5">
        <v>3.4011901580451001E-3</v>
      </c>
      <c r="E100" s="5">
        <v>1.4463550062690299E-2</v>
      </c>
      <c r="F100" s="5">
        <v>1.9570646213168199E-2</v>
      </c>
      <c r="G100" s="5">
        <v>1.7791677953718998E-2</v>
      </c>
      <c r="H100" s="5">
        <v>1.9570646213168199E-2</v>
      </c>
      <c r="I100" s="5">
        <v>2.5362123677574001E-2</v>
      </c>
      <c r="J100" s="5">
        <v>2.5207199565220599E-2</v>
      </c>
      <c r="K100" s="5">
        <v>2.5362123677574001E-2</v>
      </c>
      <c r="L100" s="5">
        <v>1.41885845887547E-2</v>
      </c>
      <c r="M100" s="5">
        <v>2.44382636507973E-2</v>
      </c>
      <c r="N100" s="5">
        <v>2.44382636507973E-2</v>
      </c>
      <c r="O100" s="5">
        <v>2.5362123677574001E-2</v>
      </c>
    </row>
    <row r="101" spans="1:15" x14ac:dyDescent="0.25">
      <c r="A101" s="18"/>
      <c r="B101" s="11" t="s">
        <v>19</v>
      </c>
      <c r="C101" s="14">
        <v>-1.7706055533128099E-2</v>
      </c>
      <c r="D101" s="14">
        <v>-2.8900218992297202E-3</v>
      </c>
      <c r="E101" s="14">
        <v>-1.7706055533128099E-2</v>
      </c>
      <c r="F101" s="14">
        <v>-5.5440969163894398E-2</v>
      </c>
      <c r="G101" s="14">
        <v>-4.4388639011061E-2</v>
      </c>
      <c r="H101" s="14">
        <v>-5.5440969163894398E-2</v>
      </c>
      <c r="I101" s="14">
        <v>-5.6218762250098003E-2</v>
      </c>
      <c r="J101" s="14">
        <v>-4.1915613181828799E-2</v>
      </c>
      <c r="K101" s="14">
        <v>-5.6218762250098003E-2</v>
      </c>
      <c r="L101" s="14">
        <v>-1.06155933491037E-2</v>
      </c>
      <c r="M101" s="14">
        <v>-5.64524278382183E-2</v>
      </c>
      <c r="N101" s="14">
        <v>-5.64524278382183E-2</v>
      </c>
      <c r="O101" s="14">
        <v>-5.64524278382183E-2</v>
      </c>
    </row>
  </sheetData>
  <mergeCells count="15">
    <mergeCell ref="A93:A101"/>
    <mergeCell ref="A48:A56"/>
    <mergeCell ref="A57:A65"/>
    <mergeCell ref="A66:A74"/>
    <mergeCell ref="A75:A83"/>
    <mergeCell ref="A84:A92"/>
    <mergeCell ref="A3:A11"/>
    <mergeCell ref="A12:A20"/>
    <mergeCell ref="A21:A29"/>
    <mergeCell ref="A30:A38"/>
    <mergeCell ref="A39:A47"/>
    <mergeCell ref="C1:E1"/>
    <mergeCell ref="F1:H1"/>
    <mergeCell ref="I1:K1"/>
    <mergeCell ref="L1:N1"/>
  </mergeCells>
  <conditionalFormatting sqref="C4:O7">
    <cfRule type="expression" dxfId="21" priority="81">
      <formula>C4&gt;0</formula>
    </cfRule>
    <cfRule type="expression" dxfId="20" priority="82">
      <formula>C4&lt;0</formula>
    </cfRule>
  </conditionalFormatting>
  <conditionalFormatting sqref="C13:O16">
    <cfRule type="expression" dxfId="19" priority="73">
      <formula>C13&gt;0</formula>
    </cfRule>
    <cfRule type="expression" dxfId="18" priority="74">
      <formula>C13&lt;0</formula>
    </cfRule>
  </conditionalFormatting>
  <conditionalFormatting sqref="C22:O25">
    <cfRule type="expression" dxfId="17" priority="65">
      <formula>C22&gt;0</formula>
    </cfRule>
    <cfRule type="expression" dxfId="16" priority="66">
      <formula>C22&lt;0</formula>
    </cfRule>
  </conditionalFormatting>
  <conditionalFormatting sqref="C31:O34">
    <cfRule type="expression" dxfId="15" priority="57">
      <formula>C31&gt;0</formula>
    </cfRule>
    <cfRule type="expression" dxfId="14" priority="58">
      <formula>C31&lt;0</formula>
    </cfRule>
  </conditionalFormatting>
  <conditionalFormatting sqref="C40:O43">
    <cfRule type="expression" dxfId="13" priority="49">
      <formula>C40&gt;0</formula>
    </cfRule>
    <cfRule type="expression" dxfId="12" priority="50">
      <formula>C40&lt;0</formula>
    </cfRule>
  </conditionalFormatting>
  <conditionalFormatting sqref="C49:O52">
    <cfRule type="expression" dxfId="11" priority="41">
      <formula>C49&gt;0</formula>
    </cfRule>
    <cfRule type="expression" dxfId="10" priority="42">
      <formula>C49&lt;0</formula>
    </cfRule>
  </conditionalFormatting>
  <conditionalFormatting sqref="C58:O61">
    <cfRule type="expression" dxfId="9" priority="33">
      <formula>C58&gt;0</formula>
    </cfRule>
    <cfRule type="expression" dxfId="8" priority="34">
      <formula>C58&lt;0</formula>
    </cfRule>
  </conditionalFormatting>
  <conditionalFormatting sqref="C67:O70">
    <cfRule type="expression" dxfId="7" priority="25">
      <formula>C67&gt;0</formula>
    </cfRule>
    <cfRule type="expression" dxfId="6" priority="26">
      <formula>C67&lt;0</formula>
    </cfRule>
  </conditionalFormatting>
  <conditionalFormatting sqref="C76:O79">
    <cfRule type="expression" dxfId="5" priority="17">
      <formula>C76&gt;0</formula>
    </cfRule>
    <cfRule type="expression" dxfId="4" priority="18">
      <formula>C76&lt;0</formula>
    </cfRule>
  </conditionalFormatting>
  <conditionalFormatting sqref="C85:O88">
    <cfRule type="expression" dxfId="3" priority="9">
      <formula>C85&gt;0</formula>
    </cfRule>
    <cfRule type="expression" dxfId="2" priority="10">
      <formula>C85&lt;0</formula>
    </cfRule>
  </conditionalFormatting>
  <conditionalFormatting sqref="C94:O97">
    <cfRule type="expression" dxfId="1" priority="1">
      <formula>C94&gt;0</formula>
    </cfRule>
    <cfRule type="expression" dxfId="0" priority="2">
      <formula>C94&lt;0</formula>
    </cfRule>
  </conditionalFormatting>
  <pageMargins left="0.2" right="0.2" top="0.75" bottom="0.75" header="0.3" footer="0.3"/>
  <pageSetup paperSize="8" scale="66" orientation="portrait" horizontalDpi="300" verticalDpi="300" r:id="rId1"/>
  <headerFooter scaleWithDoc="0" alignWithMargins="0">
    <oddFooter>&amp;LIndividualbesteuerung: Geschätzte Auswirkungen bei der direkten Bundessteuer&amp;C&amp;R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2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33</v>
      </c>
      <c r="B3" t="s">
        <v>32</v>
      </c>
    </row>
    <row r="4" spans="1:2" x14ac:dyDescent="0.25">
      <c r="A4" t="s">
        <v>34</v>
      </c>
      <c r="B4" t="s">
        <v>35</v>
      </c>
    </row>
    <row r="5" spans="1:2" x14ac:dyDescent="0.25">
      <c r="A5" t="s">
        <v>36</v>
      </c>
      <c r="B5" t="s">
        <v>37</v>
      </c>
    </row>
    <row r="6" spans="1:2" x14ac:dyDescent="0.25">
      <c r="A6" t="s">
        <v>38</v>
      </c>
      <c r="B6" t="s">
        <v>32</v>
      </c>
    </row>
    <row r="7" spans="1:2" x14ac:dyDescent="0.25">
      <c r="A7" t="s">
        <v>39</v>
      </c>
      <c r="B7" t="s">
        <v>40</v>
      </c>
    </row>
    <row r="8" spans="1:2" x14ac:dyDescent="0.25">
      <c r="A8" t="s">
        <v>41</v>
      </c>
      <c r="B8" t="s">
        <v>40</v>
      </c>
    </row>
    <row r="9" spans="1:2" x14ac:dyDescent="0.25">
      <c r="A9" t="s">
        <v>42</v>
      </c>
      <c r="B9" t="s">
        <v>43</v>
      </c>
    </row>
    <row r="10" spans="1:2" x14ac:dyDescent="0.25">
      <c r="A10" t="s">
        <v>44</v>
      </c>
      <c r="B10" t="s">
        <v>43</v>
      </c>
    </row>
    <row r="11" spans="1:2" x14ac:dyDescent="0.25">
      <c r="A11" t="s">
        <v>45</v>
      </c>
      <c r="B11" t="s">
        <v>46</v>
      </c>
    </row>
    <row r="12" spans="1:2" x14ac:dyDescent="0.25">
      <c r="A12" t="s">
        <v>47</v>
      </c>
      <c r="B12" t="s">
        <v>40</v>
      </c>
    </row>
    <row r="13" spans="1:2" x14ac:dyDescent="0.25">
      <c r="A13" t="s">
        <v>48</v>
      </c>
      <c r="B13" t="s">
        <v>49</v>
      </c>
    </row>
    <row r="14" spans="1:2" x14ac:dyDescent="0.25">
      <c r="A14" t="s">
        <v>50</v>
      </c>
      <c r="B14" t="s">
        <v>32</v>
      </c>
    </row>
    <row r="15" spans="1:2" x14ac:dyDescent="0.25">
      <c r="A15" t="s">
        <v>51</v>
      </c>
      <c r="B15" t="s">
        <v>32</v>
      </c>
    </row>
    <row r="16" spans="1:2" x14ac:dyDescent="0.25">
      <c r="A16" t="s">
        <v>52</v>
      </c>
      <c r="B16" t="s">
        <v>32</v>
      </c>
    </row>
    <row r="17" spans="1:2" x14ac:dyDescent="0.25">
      <c r="A17" t="s">
        <v>53</v>
      </c>
      <c r="B17" t="s">
        <v>32</v>
      </c>
    </row>
    <row r="18" spans="1:2" x14ac:dyDescent="0.25">
      <c r="A18" t="s">
        <v>54</v>
      </c>
      <c r="B18" t="s">
        <v>32</v>
      </c>
    </row>
    <row r="19" spans="1:2" x14ac:dyDescent="0.25">
      <c r="A19" t="s">
        <v>55</v>
      </c>
      <c r="B19" t="s">
        <v>56</v>
      </c>
    </row>
    <row r="20" spans="1:2" x14ac:dyDescent="0.25">
      <c r="A20" t="s">
        <v>57</v>
      </c>
      <c r="B20" t="s">
        <v>58</v>
      </c>
    </row>
    <row r="21" spans="1:2" x14ac:dyDescent="0.25">
      <c r="A21" t="s">
        <v>59</v>
      </c>
      <c r="B21" t="s">
        <v>60</v>
      </c>
    </row>
    <row r="22" spans="1:2" x14ac:dyDescent="0.25">
      <c r="A22" t="s">
        <v>61</v>
      </c>
      <c r="B22" t="s">
        <v>49</v>
      </c>
    </row>
    <row r="23" spans="1:2" x14ac:dyDescent="0.25">
      <c r="A23" t="s">
        <v>62</v>
      </c>
      <c r="B23" t="s">
        <v>49</v>
      </c>
    </row>
    <row r="24" spans="1:2" x14ac:dyDescent="0.25">
      <c r="A24" t="s">
        <v>63</v>
      </c>
      <c r="B24" t="s">
        <v>32</v>
      </c>
    </row>
    <row r="25" spans="1:2" x14ac:dyDescent="0.25">
      <c r="A25" t="s">
        <v>64</v>
      </c>
      <c r="B25" t="s">
        <v>32</v>
      </c>
    </row>
    <row r="26" spans="1:2" x14ac:dyDescent="0.25">
      <c r="A26" t="s">
        <v>65</v>
      </c>
      <c r="B26" t="s">
        <v>32</v>
      </c>
    </row>
    <row r="27" spans="1:2" x14ac:dyDescent="0.25">
      <c r="A27" t="s">
        <v>66</v>
      </c>
      <c r="B27" t="s">
        <v>32</v>
      </c>
    </row>
    <row r="28" spans="1:2" x14ac:dyDescent="0.25">
      <c r="A28" t="s">
        <v>67</v>
      </c>
      <c r="B28" t="s">
        <v>32</v>
      </c>
    </row>
    <row r="29" spans="1:2" x14ac:dyDescent="0.25">
      <c r="A29" t="s">
        <v>68</v>
      </c>
      <c r="B29" t="s">
        <v>32</v>
      </c>
    </row>
    <row r="30" spans="1:2" x14ac:dyDescent="0.25">
      <c r="A30" t="s">
        <v>69</v>
      </c>
      <c r="B30" t="s">
        <v>32</v>
      </c>
    </row>
    <row r="31" spans="1:2" x14ac:dyDescent="0.25">
      <c r="A31" t="s">
        <v>70</v>
      </c>
      <c r="B31" t="s">
        <v>32</v>
      </c>
    </row>
    <row r="32" spans="1:2" x14ac:dyDescent="0.25">
      <c r="A32" t="s">
        <v>71</v>
      </c>
      <c r="B32" t="s">
        <v>40</v>
      </c>
    </row>
    <row r="33" spans="1:2" x14ac:dyDescent="0.25">
      <c r="A33" t="s">
        <v>72</v>
      </c>
      <c r="B33" t="s">
        <v>32</v>
      </c>
    </row>
    <row r="34" spans="1:2" x14ac:dyDescent="0.25">
      <c r="A34" t="s">
        <v>73</v>
      </c>
      <c r="B34" t="s">
        <v>32</v>
      </c>
    </row>
    <row r="35" spans="1:2" x14ac:dyDescent="0.25">
      <c r="A35" t="s">
        <v>74</v>
      </c>
      <c r="B35" t="s">
        <v>75</v>
      </c>
    </row>
    <row r="36" spans="1:2" x14ac:dyDescent="0.25">
      <c r="A36" t="s">
        <v>76</v>
      </c>
      <c r="B36" t="s">
        <v>77</v>
      </c>
    </row>
    <row r="37" spans="1:2" x14ac:dyDescent="0.25">
      <c r="A37" t="s">
        <v>78</v>
      </c>
      <c r="B37" t="s">
        <v>79</v>
      </c>
    </row>
    <row r="38" spans="1:2" x14ac:dyDescent="0.25">
      <c r="A38" t="s">
        <v>80</v>
      </c>
      <c r="B38" t="s">
        <v>79</v>
      </c>
    </row>
    <row r="39" spans="1:2" x14ac:dyDescent="0.25">
      <c r="A39" t="s">
        <v>81</v>
      </c>
      <c r="B39" t="s">
        <v>82</v>
      </c>
    </row>
    <row r="40" spans="1:2" x14ac:dyDescent="0.25">
      <c r="A40" t="s">
        <v>83</v>
      </c>
      <c r="B40" t="s">
        <v>84</v>
      </c>
    </row>
    <row r="41" spans="1:2" x14ac:dyDescent="0.25">
      <c r="A41" t="s">
        <v>85</v>
      </c>
      <c r="B41" t="s">
        <v>86</v>
      </c>
    </row>
    <row r="42" spans="1:2" x14ac:dyDescent="0.25">
      <c r="A42" t="s">
        <v>87</v>
      </c>
      <c r="B42" t="s">
        <v>88</v>
      </c>
    </row>
    <row r="43" spans="1:2" x14ac:dyDescent="0.25">
      <c r="A43" t="s">
        <v>89</v>
      </c>
      <c r="B43" t="s">
        <v>32</v>
      </c>
    </row>
    <row r="44" spans="1:2" x14ac:dyDescent="0.25">
      <c r="A44" t="s">
        <v>90</v>
      </c>
      <c r="B44" t="s">
        <v>32</v>
      </c>
    </row>
    <row r="45" spans="1:2" x14ac:dyDescent="0.25">
      <c r="A45" t="s">
        <v>91</v>
      </c>
      <c r="B45" t="s">
        <v>32</v>
      </c>
    </row>
    <row r="46" spans="1:2" x14ac:dyDescent="0.25">
      <c r="A46" t="s">
        <v>92</v>
      </c>
      <c r="B46" t="s">
        <v>93</v>
      </c>
    </row>
    <row r="47" spans="1:2" x14ac:dyDescent="0.25">
      <c r="A47" t="s">
        <v>94</v>
      </c>
      <c r="B47" t="s">
        <v>93</v>
      </c>
    </row>
    <row r="48" spans="1:2" x14ac:dyDescent="0.25">
      <c r="A48" t="s">
        <v>95</v>
      </c>
      <c r="B48" t="s">
        <v>93</v>
      </c>
    </row>
    <row r="49" spans="1:2" x14ac:dyDescent="0.25">
      <c r="A49" t="s">
        <v>96</v>
      </c>
      <c r="B49" t="s">
        <v>93</v>
      </c>
    </row>
    <row r="50" spans="1:2" x14ac:dyDescent="0.25">
      <c r="A50" t="s">
        <v>97</v>
      </c>
      <c r="B50" t="s">
        <v>93</v>
      </c>
    </row>
    <row r="51" spans="1:2" x14ac:dyDescent="0.25">
      <c r="A51" t="s">
        <v>98</v>
      </c>
      <c r="B51" t="s">
        <v>93</v>
      </c>
    </row>
    <row r="52" spans="1:2" x14ac:dyDescent="0.25">
      <c r="A52" t="s">
        <v>99</v>
      </c>
      <c r="B52" t="s">
        <v>93</v>
      </c>
    </row>
    <row r="53" spans="1:2" x14ac:dyDescent="0.25">
      <c r="A53" t="s">
        <v>100</v>
      </c>
      <c r="B53" t="s">
        <v>93</v>
      </c>
    </row>
    <row r="54" spans="1:2" x14ac:dyDescent="0.25">
      <c r="A54" t="s">
        <v>101</v>
      </c>
      <c r="B54" t="s">
        <v>93</v>
      </c>
    </row>
    <row r="55" spans="1:2" x14ac:dyDescent="0.25">
      <c r="A55" t="s">
        <v>102</v>
      </c>
      <c r="B55" t="s">
        <v>93</v>
      </c>
    </row>
    <row r="56" spans="1:2" x14ac:dyDescent="0.25">
      <c r="A56" t="s">
        <v>103</v>
      </c>
      <c r="B56" t="s">
        <v>93</v>
      </c>
    </row>
    <row r="57" spans="1:2" x14ac:dyDescent="0.25">
      <c r="A57" t="s">
        <v>104</v>
      </c>
      <c r="B57" t="s">
        <v>105</v>
      </c>
    </row>
    <row r="58" spans="1:2" x14ac:dyDescent="0.25">
      <c r="A58" t="s">
        <v>106</v>
      </c>
      <c r="B58" t="s">
        <v>107</v>
      </c>
    </row>
    <row r="59" spans="1:2" x14ac:dyDescent="0.25">
      <c r="A59" t="s">
        <v>108</v>
      </c>
      <c r="B59" t="s">
        <v>105</v>
      </c>
    </row>
    <row r="60" spans="1:2" x14ac:dyDescent="0.25">
      <c r="A60" t="s">
        <v>109</v>
      </c>
      <c r="B60" t="s">
        <v>107</v>
      </c>
    </row>
    <row r="61" spans="1:2" x14ac:dyDescent="0.25">
      <c r="A61" t="s">
        <v>110</v>
      </c>
      <c r="B61" t="s">
        <v>107</v>
      </c>
    </row>
    <row r="62" spans="1:2" x14ac:dyDescent="0.25">
      <c r="A62" t="s">
        <v>111</v>
      </c>
      <c r="B62" t="s">
        <v>112</v>
      </c>
    </row>
    <row r="63" spans="1:2" x14ac:dyDescent="0.25">
      <c r="A63" t="s">
        <v>113</v>
      </c>
      <c r="B63" t="s">
        <v>114</v>
      </c>
    </row>
    <row r="64" spans="1:2" x14ac:dyDescent="0.25">
      <c r="A64" t="s">
        <v>115</v>
      </c>
      <c r="B64" t="s">
        <v>116</v>
      </c>
    </row>
    <row r="65" spans="1:2" x14ac:dyDescent="0.25">
      <c r="A65" t="s">
        <v>117</v>
      </c>
      <c r="B65" t="s">
        <v>118</v>
      </c>
    </row>
    <row r="66" spans="1:2" x14ac:dyDescent="0.25">
      <c r="A66" t="s">
        <v>119</v>
      </c>
      <c r="B66" t="s">
        <v>120</v>
      </c>
    </row>
    <row r="67" spans="1:2" x14ac:dyDescent="0.25">
      <c r="A67" t="s">
        <v>121</v>
      </c>
      <c r="B67" t="s">
        <v>120</v>
      </c>
    </row>
    <row r="68" spans="1:2" x14ac:dyDescent="0.25">
      <c r="A68" t="s">
        <v>122</v>
      </c>
      <c r="B68" t="s">
        <v>123</v>
      </c>
    </row>
    <row r="69" spans="1:2" x14ac:dyDescent="0.25">
      <c r="A69" t="s">
        <v>124</v>
      </c>
      <c r="B69" t="s">
        <v>123</v>
      </c>
    </row>
    <row r="70" spans="1:2" x14ac:dyDescent="0.25">
      <c r="A70" t="s">
        <v>125</v>
      </c>
      <c r="B70" t="s">
        <v>126</v>
      </c>
    </row>
    <row r="71" spans="1:2" x14ac:dyDescent="0.25">
      <c r="A71" t="s">
        <v>127</v>
      </c>
      <c r="B71" t="s">
        <v>128</v>
      </c>
    </row>
    <row r="72" spans="1:2" x14ac:dyDescent="0.25">
      <c r="A72" t="s">
        <v>129</v>
      </c>
      <c r="B72" t="s">
        <v>130</v>
      </c>
    </row>
    <row r="73" spans="1:2" x14ac:dyDescent="0.25">
      <c r="A73" t="s">
        <v>131</v>
      </c>
      <c r="B73" t="s">
        <v>132</v>
      </c>
    </row>
    <row r="74" spans="1:2" x14ac:dyDescent="0.25">
      <c r="A74" t="s">
        <v>133</v>
      </c>
      <c r="B74" t="s">
        <v>32</v>
      </c>
    </row>
    <row r="75" spans="1:2" x14ac:dyDescent="0.25">
      <c r="A75" t="s">
        <v>134</v>
      </c>
      <c r="B75" t="s">
        <v>32</v>
      </c>
    </row>
    <row r="76" spans="1:2" x14ac:dyDescent="0.25">
      <c r="A76" t="s">
        <v>135</v>
      </c>
      <c r="B76" t="s">
        <v>136</v>
      </c>
    </row>
    <row r="77" spans="1:2" x14ac:dyDescent="0.25">
      <c r="A77" t="s">
        <v>137</v>
      </c>
      <c r="B77" t="s">
        <v>37</v>
      </c>
    </row>
    <row r="78" spans="1:2" x14ac:dyDescent="0.25">
      <c r="A78" t="s">
        <v>138</v>
      </c>
      <c r="B78" t="s">
        <v>37</v>
      </c>
    </row>
    <row r="79" spans="1:2" x14ac:dyDescent="0.25">
      <c r="A79" t="s">
        <v>139</v>
      </c>
      <c r="B79" t="s">
        <v>37</v>
      </c>
    </row>
    <row r="80" spans="1:2" x14ac:dyDescent="0.25">
      <c r="A80" t="s">
        <v>140</v>
      </c>
      <c r="B80" t="s">
        <v>141</v>
      </c>
    </row>
    <row r="81" spans="1:2" x14ac:dyDescent="0.25">
      <c r="A81" t="s">
        <v>142</v>
      </c>
      <c r="B81" t="s">
        <v>32</v>
      </c>
    </row>
    <row r="82" spans="1:2" x14ac:dyDescent="0.25">
      <c r="A82" t="s">
        <v>143</v>
      </c>
      <c r="B82" t="s">
        <v>32</v>
      </c>
    </row>
    <row r="83" spans="1:2" x14ac:dyDescent="0.25">
      <c r="A83" t="s">
        <v>144</v>
      </c>
      <c r="B83" t="s">
        <v>32</v>
      </c>
    </row>
    <row r="84" spans="1:2" x14ac:dyDescent="0.25">
      <c r="A84" t="s">
        <v>145</v>
      </c>
      <c r="B84" t="s">
        <v>32</v>
      </c>
    </row>
    <row r="85" spans="1:2" x14ac:dyDescent="0.25">
      <c r="A85" t="s">
        <v>146</v>
      </c>
      <c r="B85" t="s">
        <v>32</v>
      </c>
    </row>
    <row r="86" spans="1:2" x14ac:dyDescent="0.25">
      <c r="A86" t="s">
        <v>147</v>
      </c>
      <c r="B86" t="s">
        <v>32</v>
      </c>
    </row>
    <row r="87" spans="1:2" x14ac:dyDescent="0.25">
      <c r="A87" t="s">
        <v>148</v>
      </c>
      <c r="B87" t="s">
        <v>32</v>
      </c>
    </row>
    <row r="88" spans="1:2" x14ac:dyDescent="0.25">
      <c r="A88" t="s">
        <v>149</v>
      </c>
      <c r="B88" t="s">
        <v>93</v>
      </c>
    </row>
    <row r="89" spans="1:2" x14ac:dyDescent="0.25">
      <c r="A89" t="s">
        <v>150</v>
      </c>
      <c r="B89" t="s">
        <v>32</v>
      </c>
    </row>
    <row r="90" spans="1:2" x14ac:dyDescent="0.25">
      <c r="A90" t="s">
        <v>151</v>
      </c>
      <c r="B90" t="s">
        <v>32</v>
      </c>
    </row>
    <row r="91" spans="1:2" x14ac:dyDescent="0.25">
      <c r="A91" t="s">
        <v>152</v>
      </c>
      <c r="B91" t="s">
        <v>32</v>
      </c>
    </row>
    <row r="92" spans="1:2" x14ac:dyDescent="0.25">
      <c r="A92" t="s">
        <v>153</v>
      </c>
      <c r="B92" t="s">
        <v>32</v>
      </c>
    </row>
    <row r="93" spans="1:2" x14ac:dyDescent="0.25">
      <c r="A93" t="s">
        <v>154</v>
      </c>
      <c r="B93" t="s">
        <v>32</v>
      </c>
    </row>
    <row r="94" spans="1:2" x14ac:dyDescent="0.25">
      <c r="A94" t="s">
        <v>155</v>
      </c>
      <c r="B94" t="s">
        <v>156</v>
      </c>
    </row>
    <row r="95" spans="1:2" x14ac:dyDescent="0.25">
      <c r="A95" t="s">
        <v>157</v>
      </c>
      <c r="B95" t="s">
        <v>32</v>
      </c>
    </row>
    <row r="96" spans="1:2" x14ac:dyDescent="0.25">
      <c r="A96" t="s">
        <v>158</v>
      </c>
    </row>
    <row r="97" spans="1:2" x14ac:dyDescent="0.25">
      <c r="A97" t="s">
        <v>159</v>
      </c>
      <c r="B97" t="s">
        <v>32</v>
      </c>
    </row>
    <row r="98" spans="1:2" x14ac:dyDescent="0.25">
      <c r="A98" t="s">
        <v>160</v>
      </c>
      <c r="B98" t="s">
        <v>49</v>
      </c>
    </row>
    <row r="99" spans="1:2" x14ac:dyDescent="0.25">
      <c r="A99" t="s">
        <v>161</v>
      </c>
      <c r="B99" t="s">
        <v>32</v>
      </c>
    </row>
    <row r="100" spans="1:2" x14ac:dyDescent="0.25">
      <c r="A100" t="s">
        <v>162</v>
      </c>
      <c r="B100" t="s">
        <v>32</v>
      </c>
    </row>
    <row r="101" spans="1:2" x14ac:dyDescent="0.25">
      <c r="A101" t="s">
        <v>163</v>
      </c>
      <c r="B101" t="s">
        <v>40</v>
      </c>
    </row>
    <row r="102" spans="1:2" x14ac:dyDescent="0.25">
      <c r="A102" t="s">
        <v>164</v>
      </c>
      <c r="B102" t="s">
        <v>32</v>
      </c>
    </row>
    <row r="103" spans="1:2" x14ac:dyDescent="0.25">
      <c r="A103" t="s">
        <v>165</v>
      </c>
      <c r="B103" t="s">
        <v>32</v>
      </c>
    </row>
    <row r="104" spans="1:2" x14ac:dyDescent="0.25">
      <c r="A104" t="s">
        <v>166</v>
      </c>
      <c r="B104" t="s">
        <v>40</v>
      </c>
    </row>
    <row r="105" spans="1:2" x14ac:dyDescent="0.25">
      <c r="A105" t="s">
        <v>167</v>
      </c>
      <c r="B105" t="s">
        <v>32</v>
      </c>
    </row>
    <row r="106" spans="1:2" x14ac:dyDescent="0.25">
      <c r="A106" t="s">
        <v>168</v>
      </c>
      <c r="B106" t="s">
        <v>105</v>
      </c>
    </row>
    <row r="107" spans="1:2" x14ac:dyDescent="0.25">
      <c r="A107" t="s">
        <v>169</v>
      </c>
      <c r="B107" t="s">
        <v>40</v>
      </c>
    </row>
    <row r="108" spans="1:2" x14ac:dyDescent="0.25">
      <c r="A108" t="s">
        <v>170</v>
      </c>
      <c r="B108" t="s">
        <v>171</v>
      </c>
    </row>
    <row r="109" spans="1:2" x14ac:dyDescent="0.25">
      <c r="A109" t="s">
        <v>172</v>
      </c>
      <c r="B109" t="s">
        <v>173</v>
      </c>
    </row>
    <row r="110" spans="1:2" x14ac:dyDescent="0.25">
      <c r="A110" t="s">
        <v>174</v>
      </c>
      <c r="B110" t="s">
        <v>32</v>
      </c>
    </row>
    <row r="111" spans="1:2" x14ac:dyDescent="0.25">
      <c r="A111" t="s">
        <v>175</v>
      </c>
      <c r="B111" t="s">
        <v>32</v>
      </c>
    </row>
    <row r="112" spans="1:2" x14ac:dyDescent="0.25">
      <c r="A112" t="s">
        <v>176</v>
      </c>
      <c r="B112" t="s">
        <v>32</v>
      </c>
    </row>
    <row r="113" spans="1:2" x14ac:dyDescent="0.25">
      <c r="A113" t="s">
        <v>177</v>
      </c>
      <c r="B113" t="s">
        <v>178</v>
      </c>
    </row>
    <row r="114" spans="1:2" x14ac:dyDescent="0.25">
      <c r="A114" t="s">
        <v>179</v>
      </c>
      <c r="B114" t="s">
        <v>180</v>
      </c>
    </row>
    <row r="115" spans="1:2" x14ac:dyDescent="0.25">
      <c r="A115" t="s">
        <v>181</v>
      </c>
      <c r="B115" t="s">
        <v>182</v>
      </c>
    </row>
    <row r="116" spans="1:2" x14ac:dyDescent="0.25">
      <c r="A116" t="s">
        <v>183</v>
      </c>
      <c r="B116" t="s">
        <v>184</v>
      </c>
    </row>
    <row r="117" spans="1:2" x14ac:dyDescent="0.25">
      <c r="A117" t="s">
        <v>185</v>
      </c>
      <c r="B117" t="s">
        <v>186</v>
      </c>
    </row>
    <row r="118" spans="1:2" x14ac:dyDescent="0.25">
      <c r="A118" t="s">
        <v>187</v>
      </c>
      <c r="B118" t="s">
        <v>1</v>
      </c>
    </row>
    <row r="119" spans="1:2" x14ac:dyDescent="0.25">
      <c r="A119" t="s">
        <v>188</v>
      </c>
      <c r="B119" t="s">
        <v>189</v>
      </c>
    </row>
    <row r="120" spans="1:2" x14ac:dyDescent="0.25">
      <c r="A120" t="s">
        <v>190</v>
      </c>
      <c r="B120" t="s">
        <v>1</v>
      </c>
    </row>
    <row r="121" spans="1:2" x14ac:dyDescent="0.25">
      <c r="A121" t="s">
        <v>191</v>
      </c>
      <c r="B121" t="s">
        <v>2</v>
      </c>
    </row>
    <row r="122" spans="1:2" x14ac:dyDescent="0.25">
      <c r="A122" t="s">
        <v>192</v>
      </c>
      <c r="B122" t="s">
        <v>193</v>
      </c>
    </row>
    <row r="123" spans="1:2" x14ac:dyDescent="0.25">
      <c r="A123" t="s">
        <v>194</v>
      </c>
      <c r="B123" t="s">
        <v>2</v>
      </c>
    </row>
    <row r="124" spans="1:2" x14ac:dyDescent="0.25">
      <c r="A124" t="s">
        <v>195</v>
      </c>
      <c r="B124" t="s">
        <v>0</v>
      </c>
    </row>
    <row r="125" spans="1:2" x14ac:dyDescent="0.25">
      <c r="A125" t="s">
        <v>196</v>
      </c>
      <c r="B125" t="s">
        <v>0</v>
      </c>
    </row>
    <row r="126" spans="1:2" x14ac:dyDescent="0.25">
      <c r="A126" t="s">
        <v>197</v>
      </c>
      <c r="B126" t="s">
        <v>3</v>
      </c>
    </row>
    <row r="127" spans="1:2" x14ac:dyDescent="0.25">
      <c r="A127" t="s">
        <v>198</v>
      </c>
      <c r="B127" t="s">
        <v>3</v>
      </c>
    </row>
    <row r="128" spans="1:2" x14ac:dyDescent="0.25">
      <c r="A128" t="s">
        <v>199</v>
      </c>
      <c r="B128" t="s">
        <v>6</v>
      </c>
    </row>
    <row r="129" spans="1:2" x14ac:dyDescent="0.25">
      <c r="A129" t="s">
        <v>200</v>
      </c>
      <c r="B129" t="s">
        <v>6</v>
      </c>
    </row>
    <row r="130" spans="1:2" x14ac:dyDescent="0.25">
      <c r="A130" t="s">
        <v>201</v>
      </c>
      <c r="B130" t="s">
        <v>5</v>
      </c>
    </row>
    <row r="131" spans="1:2" x14ac:dyDescent="0.25">
      <c r="A131" t="s">
        <v>202</v>
      </c>
      <c r="B131" t="s">
        <v>5</v>
      </c>
    </row>
    <row r="132" spans="1:2" x14ac:dyDescent="0.25">
      <c r="A132" t="s">
        <v>203</v>
      </c>
      <c r="B132" t="s">
        <v>8</v>
      </c>
    </row>
    <row r="133" spans="1:2" x14ac:dyDescent="0.25">
      <c r="A133" t="s">
        <v>204</v>
      </c>
      <c r="B133" t="s">
        <v>205</v>
      </c>
    </row>
    <row r="134" spans="1:2" x14ac:dyDescent="0.25">
      <c r="A134" t="s">
        <v>206</v>
      </c>
      <c r="B134" t="s">
        <v>8</v>
      </c>
    </row>
    <row r="135" spans="1:2" x14ac:dyDescent="0.25">
      <c r="A135" t="s">
        <v>46</v>
      </c>
      <c r="B135" t="s">
        <v>7</v>
      </c>
    </row>
    <row r="136" spans="1:2" x14ac:dyDescent="0.25">
      <c r="A136" t="s">
        <v>207</v>
      </c>
      <c r="B136" t="s">
        <v>7</v>
      </c>
    </row>
    <row r="137" spans="1:2" x14ac:dyDescent="0.25">
      <c r="A137" t="s">
        <v>208</v>
      </c>
      <c r="B137" t="s">
        <v>19</v>
      </c>
    </row>
    <row r="138" spans="1:2" x14ac:dyDescent="0.25">
      <c r="A138" t="s">
        <v>209</v>
      </c>
      <c r="B138" t="s">
        <v>18</v>
      </c>
    </row>
    <row r="139" spans="1:2" x14ac:dyDescent="0.25">
      <c r="A139" t="s">
        <v>210</v>
      </c>
      <c r="B139" t="s">
        <v>13</v>
      </c>
    </row>
    <row r="140" spans="1:2" x14ac:dyDescent="0.25">
      <c r="A140" t="s">
        <v>211</v>
      </c>
      <c r="B140" t="s">
        <v>15</v>
      </c>
    </row>
    <row r="141" spans="1:2" x14ac:dyDescent="0.25">
      <c r="A141" t="s">
        <v>212</v>
      </c>
      <c r="B141" t="s">
        <v>14</v>
      </c>
    </row>
    <row r="142" spans="1:2" x14ac:dyDescent="0.25">
      <c r="A142" t="s">
        <v>213</v>
      </c>
      <c r="B142" t="s">
        <v>12</v>
      </c>
    </row>
    <row r="143" spans="1:2" x14ac:dyDescent="0.25">
      <c r="A143" t="s">
        <v>214</v>
      </c>
      <c r="B143" t="s">
        <v>11</v>
      </c>
    </row>
    <row r="144" spans="1:2" x14ac:dyDescent="0.25">
      <c r="A144" t="s">
        <v>215</v>
      </c>
      <c r="B144" t="s">
        <v>17</v>
      </c>
    </row>
    <row r="145" spans="1:2" x14ac:dyDescent="0.25">
      <c r="A145" t="s">
        <v>216</v>
      </c>
      <c r="B145" t="s">
        <v>16</v>
      </c>
    </row>
    <row r="146" spans="1:2" x14ac:dyDescent="0.25">
      <c r="A146" t="s">
        <v>217</v>
      </c>
      <c r="B146" t="s">
        <v>218</v>
      </c>
    </row>
    <row r="147" spans="1:2" x14ac:dyDescent="0.25">
      <c r="A147" t="s">
        <v>219</v>
      </c>
      <c r="B147" t="s">
        <v>220</v>
      </c>
    </row>
    <row r="148" spans="1:2" x14ac:dyDescent="0.25">
      <c r="A148" t="s">
        <v>221</v>
      </c>
      <c r="B148" t="s">
        <v>222</v>
      </c>
    </row>
    <row r="149" spans="1:2" x14ac:dyDescent="0.25">
      <c r="A149" t="s">
        <v>223</v>
      </c>
      <c r="B149" t="s">
        <v>224</v>
      </c>
    </row>
    <row r="150" spans="1:2" x14ac:dyDescent="0.25">
      <c r="A150" t="s">
        <v>225</v>
      </c>
      <c r="B150" t="s">
        <v>226</v>
      </c>
    </row>
    <row r="151" spans="1:2" x14ac:dyDescent="0.25">
      <c r="A151" t="s">
        <v>227</v>
      </c>
      <c r="B151" t="s">
        <v>228</v>
      </c>
    </row>
    <row r="152" spans="1:2" x14ac:dyDescent="0.25">
      <c r="A152" t="s">
        <v>229</v>
      </c>
      <c r="B152" t="s">
        <v>230</v>
      </c>
    </row>
    <row r="153" spans="1:2" x14ac:dyDescent="0.25">
      <c r="A153" t="s">
        <v>231</v>
      </c>
      <c r="B153" t="s">
        <v>32</v>
      </c>
    </row>
    <row r="154" spans="1:2" x14ac:dyDescent="0.25">
      <c r="A154" t="s">
        <v>232</v>
      </c>
      <c r="B154" t="s">
        <v>40</v>
      </c>
    </row>
    <row r="155" spans="1:2" x14ac:dyDescent="0.25">
      <c r="A155" t="s">
        <v>233</v>
      </c>
      <c r="B155" t="s">
        <v>32</v>
      </c>
    </row>
    <row r="156" spans="1:2" x14ac:dyDescent="0.25">
      <c r="A156" t="s">
        <v>234</v>
      </c>
      <c r="B156" t="s">
        <v>32</v>
      </c>
    </row>
    <row r="157" spans="1:2" x14ac:dyDescent="0.25">
      <c r="A157" t="s">
        <v>235</v>
      </c>
      <c r="B157" t="s">
        <v>32</v>
      </c>
    </row>
    <row r="158" spans="1:2" x14ac:dyDescent="0.25">
      <c r="A158" t="s">
        <v>236</v>
      </c>
      <c r="B158" t="s">
        <v>32</v>
      </c>
    </row>
    <row r="159" spans="1:2" x14ac:dyDescent="0.25">
      <c r="A159" t="s">
        <v>237</v>
      </c>
      <c r="B159" t="s">
        <v>32</v>
      </c>
    </row>
    <row r="160" spans="1:2" x14ac:dyDescent="0.25">
      <c r="A160" t="s">
        <v>238</v>
      </c>
      <c r="B160" t="s">
        <v>32</v>
      </c>
    </row>
    <row r="161" spans="1:2" x14ac:dyDescent="0.25">
      <c r="A161" t="s">
        <v>239</v>
      </c>
      <c r="B161" t="s">
        <v>240</v>
      </c>
    </row>
    <row r="162" spans="1:2" x14ac:dyDescent="0.25">
      <c r="A162" t="s">
        <v>241</v>
      </c>
      <c r="B162" t="s">
        <v>240</v>
      </c>
    </row>
    <row r="163" spans="1:2" x14ac:dyDescent="0.25">
      <c r="A163" t="s">
        <v>242</v>
      </c>
      <c r="B163" t="s">
        <v>240</v>
      </c>
    </row>
    <row r="164" spans="1:2" x14ac:dyDescent="0.25">
      <c r="A164" t="s">
        <v>243</v>
      </c>
      <c r="B164" t="s">
        <v>40</v>
      </c>
    </row>
    <row r="165" spans="1:2" x14ac:dyDescent="0.25">
      <c r="A165" t="s">
        <v>244</v>
      </c>
      <c r="B165" t="s">
        <v>40</v>
      </c>
    </row>
    <row r="166" spans="1:2" x14ac:dyDescent="0.25">
      <c r="A166" t="s">
        <v>245</v>
      </c>
      <c r="B166" t="s">
        <v>246</v>
      </c>
    </row>
    <row r="167" spans="1:2" x14ac:dyDescent="0.25">
      <c r="A167" t="s">
        <v>247</v>
      </c>
      <c r="B167" t="s">
        <v>49</v>
      </c>
    </row>
    <row r="168" spans="1:2" x14ac:dyDescent="0.25">
      <c r="A168" t="s">
        <v>248</v>
      </c>
      <c r="B168" t="s">
        <v>249</v>
      </c>
    </row>
    <row r="169" spans="1:2" x14ac:dyDescent="0.25">
      <c r="A169" t="s">
        <v>250</v>
      </c>
      <c r="B169" t="s">
        <v>32</v>
      </c>
    </row>
    <row r="170" spans="1:2" x14ac:dyDescent="0.25">
      <c r="A170" t="s">
        <v>251</v>
      </c>
      <c r="B170" t="s">
        <v>249</v>
      </c>
    </row>
    <row r="171" spans="1:2" x14ac:dyDescent="0.25">
      <c r="A171" t="s">
        <v>252</v>
      </c>
      <c r="B171" t="s">
        <v>253</v>
      </c>
    </row>
    <row r="172" spans="1:2" x14ac:dyDescent="0.25">
      <c r="A172" t="s">
        <v>254</v>
      </c>
      <c r="B172" t="s">
        <v>255</v>
      </c>
    </row>
    <row r="173" spans="1:2" x14ac:dyDescent="0.25">
      <c r="A173" t="s">
        <v>256</v>
      </c>
      <c r="B173" t="s">
        <v>257</v>
      </c>
    </row>
    <row r="174" spans="1:2" x14ac:dyDescent="0.25">
      <c r="A174" t="s">
        <v>258</v>
      </c>
      <c r="B174" t="s">
        <v>49</v>
      </c>
    </row>
    <row r="175" spans="1:2" x14ac:dyDescent="0.25">
      <c r="A175" t="s">
        <v>259</v>
      </c>
      <c r="B175" t="s">
        <v>49</v>
      </c>
    </row>
    <row r="176" spans="1:2" x14ac:dyDescent="0.25">
      <c r="A176" t="s">
        <v>260</v>
      </c>
      <c r="B176" t="s">
        <v>32</v>
      </c>
    </row>
    <row r="177" spans="1:2" x14ac:dyDescent="0.25">
      <c r="A177" t="s">
        <v>261</v>
      </c>
      <c r="B177" t="s">
        <v>40</v>
      </c>
    </row>
    <row r="178" spans="1:2" x14ac:dyDescent="0.25">
      <c r="A178" t="s">
        <v>262</v>
      </c>
      <c r="B178" t="s">
        <v>263</v>
      </c>
    </row>
    <row r="179" spans="1:2" x14ac:dyDescent="0.25">
      <c r="A179" t="s">
        <v>264</v>
      </c>
      <c r="B179" t="s">
        <v>93</v>
      </c>
    </row>
    <row r="180" spans="1:2" x14ac:dyDescent="0.25">
      <c r="A180" t="s">
        <v>265</v>
      </c>
      <c r="B180" t="s">
        <v>266</v>
      </c>
    </row>
    <row r="181" spans="1:2" x14ac:dyDescent="0.25">
      <c r="A181" t="s">
        <v>267</v>
      </c>
      <c r="B181" t="s">
        <v>37</v>
      </c>
    </row>
    <row r="182" spans="1:2" x14ac:dyDescent="0.25">
      <c r="A182" t="s">
        <v>268</v>
      </c>
      <c r="B182" t="s">
        <v>32</v>
      </c>
    </row>
    <row r="183" spans="1:2" x14ac:dyDescent="0.25">
      <c r="A183" t="s">
        <v>269</v>
      </c>
      <c r="B183" t="s">
        <v>49</v>
      </c>
    </row>
    <row r="184" spans="1:2" x14ac:dyDescent="0.25">
      <c r="A184" t="s">
        <v>270</v>
      </c>
      <c r="B184" t="s">
        <v>32</v>
      </c>
    </row>
    <row r="185" spans="1:2" x14ac:dyDescent="0.25">
      <c r="A185" t="s">
        <v>271</v>
      </c>
      <c r="B185" t="s">
        <v>32</v>
      </c>
    </row>
    <row r="186" spans="1:2" x14ac:dyDescent="0.25">
      <c r="A186" t="s">
        <v>272</v>
      </c>
      <c r="B186" t="s">
        <v>32</v>
      </c>
    </row>
    <row r="187" spans="1:2" x14ac:dyDescent="0.25">
      <c r="A187" t="s">
        <v>273</v>
      </c>
      <c r="B187" t="s">
        <v>274</v>
      </c>
    </row>
    <row r="188" spans="1:2" x14ac:dyDescent="0.25">
      <c r="A188" t="s">
        <v>275</v>
      </c>
      <c r="B188" t="s">
        <v>276</v>
      </c>
    </row>
    <row r="189" spans="1:2" x14ac:dyDescent="0.25">
      <c r="A189" t="s">
        <v>277</v>
      </c>
      <c r="B189" t="s">
        <v>278</v>
      </c>
    </row>
    <row r="190" spans="1:2" x14ac:dyDescent="0.25">
      <c r="A190" t="s">
        <v>279</v>
      </c>
      <c r="B190" t="s">
        <v>280</v>
      </c>
    </row>
    <row r="191" spans="1:2" x14ac:dyDescent="0.25">
      <c r="A191" t="s">
        <v>281</v>
      </c>
      <c r="B191" t="s">
        <v>40</v>
      </c>
    </row>
    <row r="192" spans="1:2" x14ac:dyDescent="0.25">
      <c r="A192" t="s">
        <v>282</v>
      </c>
      <c r="B192" t="s">
        <v>32</v>
      </c>
    </row>
    <row r="193" spans="1:2" x14ac:dyDescent="0.25">
      <c r="A193" t="s">
        <v>283</v>
      </c>
      <c r="B193" t="s">
        <v>32</v>
      </c>
    </row>
    <row r="194" spans="1:2" x14ac:dyDescent="0.25">
      <c r="A194" t="s">
        <v>284</v>
      </c>
      <c r="B194" t="s">
        <v>32</v>
      </c>
    </row>
    <row r="195" spans="1:2" x14ac:dyDescent="0.25">
      <c r="A195" t="s">
        <v>285</v>
      </c>
      <c r="B195" t="s">
        <v>49</v>
      </c>
    </row>
    <row r="196" spans="1:2" x14ac:dyDescent="0.25">
      <c r="A196" t="s">
        <v>286</v>
      </c>
      <c r="B196" t="s">
        <v>49</v>
      </c>
    </row>
    <row r="197" spans="1:2" x14ac:dyDescent="0.25">
      <c r="A197" t="s">
        <v>287</v>
      </c>
      <c r="B197" t="s">
        <v>288</v>
      </c>
    </row>
    <row r="198" spans="1:2" x14ac:dyDescent="0.25">
      <c r="A198" t="s">
        <v>289</v>
      </c>
      <c r="B198" t="s">
        <v>290</v>
      </c>
    </row>
    <row r="199" spans="1:2" x14ac:dyDescent="0.25">
      <c r="A199" t="s">
        <v>291</v>
      </c>
      <c r="B199" t="s">
        <v>292</v>
      </c>
    </row>
    <row r="200" spans="1:2" x14ac:dyDescent="0.25">
      <c r="A200" t="s">
        <v>293</v>
      </c>
      <c r="B200" t="s">
        <v>141</v>
      </c>
    </row>
    <row r="201" spans="1:2" x14ac:dyDescent="0.25">
      <c r="A201" t="s">
        <v>294</v>
      </c>
      <c r="B201" t="s">
        <v>288</v>
      </c>
    </row>
    <row r="202" spans="1:2" x14ac:dyDescent="0.25">
      <c r="A202" t="s">
        <v>295</v>
      </c>
      <c r="B202" t="s">
        <v>296</v>
      </c>
    </row>
    <row r="203" spans="1:2" x14ac:dyDescent="0.25">
      <c r="A203" t="s">
        <v>297</v>
      </c>
      <c r="B203" t="s">
        <v>298</v>
      </c>
    </row>
    <row r="204" spans="1:2" x14ac:dyDescent="0.25">
      <c r="A204" t="s">
        <v>299</v>
      </c>
      <c r="B204" t="s">
        <v>300</v>
      </c>
    </row>
    <row r="205" spans="1:2" x14ac:dyDescent="0.25">
      <c r="A205" t="s">
        <v>301</v>
      </c>
      <c r="B205" t="s">
        <v>302</v>
      </c>
    </row>
    <row r="206" spans="1:2" x14ac:dyDescent="0.25">
      <c r="A206" t="s">
        <v>303</v>
      </c>
      <c r="B206" t="s">
        <v>107</v>
      </c>
    </row>
    <row r="207" spans="1:2" x14ac:dyDescent="0.25">
      <c r="A207" t="s">
        <v>304</v>
      </c>
      <c r="B207" t="s">
        <v>290</v>
      </c>
    </row>
    <row r="208" spans="1:2" x14ac:dyDescent="0.25">
      <c r="A208" t="s">
        <v>305</v>
      </c>
      <c r="B208" t="s">
        <v>306</v>
      </c>
    </row>
    <row r="209" spans="1:2" x14ac:dyDescent="0.25">
      <c r="A209" t="s">
        <v>307</v>
      </c>
      <c r="B209" t="s">
        <v>308</v>
      </c>
    </row>
    <row r="210" spans="1:2" x14ac:dyDescent="0.25">
      <c r="A210" t="s">
        <v>309</v>
      </c>
      <c r="B210" t="s">
        <v>288</v>
      </c>
    </row>
    <row r="211" spans="1:2" x14ac:dyDescent="0.25">
      <c r="A211" t="s">
        <v>310</v>
      </c>
      <c r="B211" t="s">
        <v>105</v>
      </c>
    </row>
    <row r="212" spans="1:2" x14ac:dyDescent="0.25">
      <c r="A212" t="s">
        <v>311</v>
      </c>
      <c r="B212" t="s">
        <v>288</v>
      </c>
    </row>
    <row r="213" spans="1:2" x14ac:dyDescent="0.25">
      <c r="A213" t="s">
        <v>312</v>
      </c>
      <c r="B213" t="s">
        <v>313</v>
      </c>
    </row>
    <row r="214" spans="1:2" x14ac:dyDescent="0.25">
      <c r="A214" t="s">
        <v>314</v>
      </c>
      <c r="B214" t="s">
        <v>40</v>
      </c>
    </row>
    <row r="215" spans="1:2" x14ac:dyDescent="0.25">
      <c r="A215" t="s">
        <v>315</v>
      </c>
      <c r="B215" t="s">
        <v>32</v>
      </c>
    </row>
    <row r="216" spans="1:2" x14ac:dyDescent="0.25">
      <c r="A216" t="s">
        <v>316</v>
      </c>
      <c r="B216" t="s">
        <v>32</v>
      </c>
    </row>
    <row r="217" spans="1:2" x14ac:dyDescent="0.25">
      <c r="A217" t="s">
        <v>317</v>
      </c>
      <c r="B217" t="s">
        <v>32</v>
      </c>
    </row>
    <row r="218" spans="1:2" x14ac:dyDescent="0.25">
      <c r="A218" t="s">
        <v>318</v>
      </c>
      <c r="B218" t="s">
        <v>32</v>
      </c>
    </row>
    <row r="219" spans="1:2" x14ac:dyDescent="0.25">
      <c r="A219" t="s">
        <v>319</v>
      </c>
      <c r="B219" t="s">
        <v>32</v>
      </c>
    </row>
    <row r="220" spans="1:2" x14ac:dyDescent="0.25">
      <c r="A220" t="s">
        <v>320</v>
      </c>
      <c r="B220" t="s">
        <v>32</v>
      </c>
    </row>
    <row r="221" spans="1:2" x14ac:dyDescent="0.25">
      <c r="A221" t="s">
        <v>321</v>
      </c>
      <c r="B221" t="s">
        <v>32</v>
      </c>
    </row>
    <row r="222" spans="1:2" x14ac:dyDescent="0.25">
      <c r="A222" t="s">
        <v>322</v>
      </c>
      <c r="B222" t="s">
        <v>32</v>
      </c>
    </row>
    <row r="223" spans="1:2" x14ac:dyDescent="0.25">
      <c r="A223" t="s">
        <v>323</v>
      </c>
      <c r="B223" t="s">
        <v>32</v>
      </c>
    </row>
    <row r="224" spans="1:2" x14ac:dyDescent="0.25">
      <c r="A224" t="s">
        <v>324</v>
      </c>
      <c r="B224" t="s">
        <v>49</v>
      </c>
    </row>
    <row r="225" spans="1:2" x14ac:dyDescent="0.25">
      <c r="A225" t="s">
        <v>325</v>
      </c>
      <c r="B225" t="s">
        <v>326</v>
      </c>
    </row>
    <row r="226" spans="1:2" x14ac:dyDescent="0.25">
      <c r="A226" t="s">
        <v>327</v>
      </c>
      <c r="B226" t="s">
        <v>328</v>
      </c>
    </row>
    <row r="227" spans="1:2" x14ac:dyDescent="0.25">
      <c r="A227" t="s">
        <v>329</v>
      </c>
      <c r="B227" t="s">
        <v>330</v>
      </c>
    </row>
    <row r="228" spans="1:2" x14ac:dyDescent="0.25">
      <c r="A228" t="s">
        <v>331</v>
      </c>
      <c r="B228" t="s">
        <v>328</v>
      </c>
    </row>
    <row r="229" spans="1:2" x14ac:dyDescent="0.25">
      <c r="A229" t="s">
        <v>332</v>
      </c>
      <c r="B229" t="s">
        <v>35</v>
      </c>
    </row>
    <row r="230" spans="1:2" x14ac:dyDescent="0.25">
      <c r="A230" t="s">
        <v>333</v>
      </c>
      <c r="B230" t="s">
        <v>49</v>
      </c>
    </row>
    <row r="231" spans="1:2" x14ac:dyDescent="0.25">
      <c r="A231" t="s">
        <v>334</v>
      </c>
      <c r="B231" t="s">
        <v>49</v>
      </c>
    </row>
    <row r="232" spans="1:2" x14ac:dyDescent="0.25">
      <c r="A232" t="s">
        <v>335</v>
      </c>
      <c r="B232" t="s">
        <v>207</v>
      </c>
    </row>
    <row r="233" spans="1:2" x14ac:dyDescent="0.25">
      <c r="A233" t="s">
        <v>336</v>
      </c>
      <c r="B233" t="s">
        <v>337</v>
      </c>
    </row>
    <row r="234" spans="1:2" x14ac:dyDescent="0.25">
      <c r="A234" t="s">
        <v>338</v>
      </c>
    </row>
    <row r="235" spans="1:2" x14ac:dyDescent="0.25">
      <c r="A235" t="s">
        <v>339</v>
      </c>
      <c r="B235" t="s">
        <v>340</v>
      </c>
    </row>
    <row r="236" spans="1:2" x14ac:dyDescent="0.25">
      <c r="A236" t="s">
        <v>341</v>
      </c>
      <c r="B236" t="s">
        <v>49</v>
      </c>
    </row>
    <row r="237" spans="1:2" x14ac:dyDescent="0.25">
      <c r="A237" t="s">
        <v>342</v>
      </c>
      <c r="B237" t="s">
        <v>343</v>
      </c>
    </row>
    <row r="238" spans="1:2" x14ac:dyDescent="0.25">
      <c r="A238" t="s">
        <v>344</v>
      </c>
      <c r="B238" t="s">
        <v>345</v>
      </c>
    </row>
    <row r="239" spans="1:2" x14ac:dyDescent="0.25">
      <c r="A239" t="s">
        <v>346</v>
      </c>
      <c r="B239" t="s">
        <v>347</v>
      </c>
    </row>
    <row r="240" spans="1:2" x14ac:dyDescent="0.25">
      <c r="A240" t="s">
        <v>348</v>
      </c>
      <c r="B240" t="s">
        <v>349</v>
      </c>
    </row>
    <row r="241" spans="1:2" x14ac:dyDescent="0.25">
      <c r="A241" t="s">
        <v>350</v>
      </c>
      <c r="B241" t="s">
        <v>351</v>
      </c>
    </row>
    <row r="242" spans="1:2" x14ac:dyDescent="0.25">
      <c r="A242" t="s">
        <v>352</v>
      </c>
      <c r="B242" t="s">
        <v>353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modelname</vt:lpstr>
      <vt:lpstr>final_def_estimate_popvote_2026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U80845171</dc:creator>
  <cp:lastModifiedBy>Auberson Patrik ESTV</cp:lastModifiedBy>
  <cp:lastPrinted>2025-11-14T10:52:34Z</cp:lastPrinted>
  <dcterms:created xsi:type="dcterms:W3CDTF">2025-11-12T11:03:56Z</dcterms:created>
  <dcterms:modified xsi:type="dcterms:W3CDTF">2025-11-14T10:54:02Z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2025-11-14T10:50:57Z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459deb9f-aab3-4be2-8184-2f968739da03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